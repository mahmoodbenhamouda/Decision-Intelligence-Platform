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" sheetId="1" state="visible" r:id="rId1"/>
    <sheet xmlns:r="http://schemas.openxmlformats.org/officeDocument/2006/relationships" name="Détail des tâches" sheetId="2" state="visible" r:id="rId2"/>
  </sheets>
  <definedNames>
    <definedName name="_xlnm.Print_Titles" localSheetId="0">'Gantt'!$4:$5</definedName>
    <definedName name="_xlnm.Print_Area" localSheetId="0">'Gantt'!$A$1:$AI$60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23">
    <font>
      <name val="Calibri"/>
      <family val="2"/>
      <color theme="1"/>
      <sz val="11"/>
      <scheme val="minor"/>
    </font>
    <font>
      <name val="Arial"/>
      <b val="1"/>
      <color rgb="001F3A5F"/>
      <sz val="15"/>
    </font>
    <font>
      <name val="Arial"/>
      <b val="1"/>
      <color rgb="00595959"/>
      <sz val="10"/>
    </font>
    <font>
      <name val="Arial"/>
      <i val="1"/>
      <color rgb="00595959"/>
      <sz val="9"/>
    </font>
    <font>
      <name val="Arial"/>
      <b val="1"/>
      <sz val="9"/>
    </font>
    <font>
      <name val="Arial"/>
      <color rgb="000000FF"/>
      <sz val="9"/>
    </font>
    <font>
      <name val="Arial"/>
      <b val="1"/>
      <color rgb="00FFFFFF"/>
      <sz val="8"/>
    </font>
    <font>
      <name val="Arial"/>
      <b val="1"/>
      <color rgb="00000000"/>
      <sz val="8"/>
    </font>
    <font>
      <name val="Arial"/>
      <b val="1"/>
      <color rgb="00B42318"/>
      <sz val="9"/>
    </font>
    <font>
      <name val="Arial"/>
      <i val="1"/>
      <color rgb="00595959"/>
      <sz val="8"/>
    </font>
    <font>
      <name val="Arial"/>
      <b val="1"/>
      <color rgb="00FFFFFF"/>
      <sz val="9"/>
    </font>
    <font>
      <name val="Arial"/>
      <b val="1"/>
      <color rgb="00FFFFFF"/>
      <sz val="7"/>
    </font>
    <font>
      <name val="Arial"/>
      <b val="1"/>
      <color rgb="00000000"/>
      <sz val="9"/>
    </font>
    <font>
      <name val="Arial"/>
      <color rgb="00000000"/>
      <sz val="9"/>
    </font>
    <font>
      <name val="Arial"/>
      <i val="1"/>
      <color rgb="00000000"/>
      <sz val="9"/>
    </font>
    <font>
      <name val="Arial"/>
      <i val="1"/>
      <color rgb="00B42318"/>
      <sz val="9"/>
    </font>
    <font>
      <name val="Arial"/>
      <i val="1"/>
      <color rgb="000000FF"/>
      <sz val="9"/>
    </font>
    <font>
      <name val="Arial"/>
      <b val="1"/>
      <color rgb="00B42318"/>
      <sz val="11"/>
    </font>
    <font>
      <name val="Arial"/>
      <b val="1"/>
      <color rgb="001F3A5F"/>
      <sz val="10"/>
    </font>
    <font>
      <name val="Arial"/>
      <sz val="9"/>
    </font>
    <font>
      <name val="Arial"/>
      <b val="1"/>
      <color rgb="001F3A5F"/>
      <sz val="14"/>
    </font>
    <font>
      <name val="Arial"/>
      <color rgb="00008000"/>
      <sz val="9"/>
    </font>
    <font>
      <name val="Arial"/>
      <color rgb="00B42318"/>
      <sz val="9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E9E5B"/>
      </patternFill>
    </fill>
    <fill>
      <patternFill patternType="solid">
        <fgColor rgb="00F2A93B"/>
      </patternFill>
    </fill>
    <fill>
      <patternFill patternType="solid">
        <fgColor rgb="009DB9DE"/>
      </patternFill>
    </fill>
    <fill>
      <patternFill patternType="solid">
        <fgColor rgb="001F3A5F"/>
      </patternFill>
    </fill>
    <fill>
      <patternFill patternType="solid">
        <fgColor rgb="00DCE6F0"/>
      </patternFill>
    </fill>
  </fills>
  <borders count="5">
    <border>
      <left/>
      <right/>
      <top/>
      <bottom/>
      <diagonal/>
    </border>
    <border>
      <left style="thin">
        <color rgb="00BFC9D6"/>
      </left>
      <right style="thin">
        <color rgb="00BFC9D6"/>
      </right>
      <top style="thin">
        <color rgb="00BFC9D6"/>
      </top>
      <bottom style="thin">
        <color rgb="00BFC9D6"/>
      </bottom>
    </border>
    <border>
      <left style="thin">
        <color rgb="00FFFFFF"/>
      </left>
    </border>
    <border/>
    <border>
      <left style="hair">
        <color rgb="00E3E8EF"/>
      </left>
      <right style="hair">
        <color rgb="00E3E8EF"/>
      </right>
      <top style="thin">
        <color rgb="00BFC9D6"/>
      </top>
      <bottom style="thin">
        <color rgb="00BFC9D6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center"/>
    </xf>
    <xf numFmtId="0" fontId="4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6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7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6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165" fontId="5" fillId="2" borderId="0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0" fillId="6" borderId="3" pivotButton="0" quotePrefix="0" xfId="0"/>
    <xf numFmtId="0" fontId="10" fillId="6" borderId="1" applyAlignment="1" pivotButton="0" quotePrefix="0" xfId="0">
      <alignment horizontal="center" vertical="center" wrapText="1"/>
    </xf>
    <xf numFmtId="166" fontId="11" fillId="6" borderId="1" applyAlignment="1" pivotButton="0" quotePrefix="0" xfId="0">
      <alignment horizontal="center" vertical="center" textRotation="90"/>
    </xf>
    <xf numFmtId="0" fontId="12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165" fontId="12" fillId="7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0" fontId="0" fillId="7" borderId="4" pivotButton="0" quotePrefix="0" xfId="0"/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165" fontId="5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1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/>
    </xf>
    <xf numFmtId="165" fontId="16" fillId="0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/>
    </xf>
    <xf numFmtId="0" fontId="18" fillId="0" borderId="0" pivotButton="0" quotePrefix="0" xfId="0"/>
    <xf numFmtId="165" fontId="18" fillId="0" borderId="0" pivotButton="0" quotePrefix="0" xfId="0"/>
    <xf numFmtId="0" fontId="19" fillId="0" borderId="0" pivotButton="0" quotePrefix="0" xfId="0"/>
    <xf numFmtId="0" fontId="4" fillId="0" borderId="0" applyAlignment="1" pivotButton="0" quotePrefix="0" xfId="0">
      <alignment horizontal="center"/>
    </xf>
    <xf numFmtId="9" fontId="4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20" fillId="0" borderId="0" pivotButton="0" quotePrefix="0" xfId="0"/>
    <xf numFmtId="0" fontId="10" fillId="6" borderId="1" applyAlignment="1" pivotButton="0" quotePrefix="0" xfId="0">
      <alignment horizontal="center" vertical="center"/>
    </xf>
    <xf numFmtId="0" fontId="4" fillId="7" borderId="1" pivotButton="0" quotePrefix="0" xfId="0"/>
    <xf numFmtId="0" fontId="13" fillId="0" borderId="1" applyAlignment="1" pivotButton="0" quotePrefix="0" xfId="0">
      <alignment horizontal="center" vertical="top" wrapText="1"/>
    </xf>
    <xf numFmtId="0" fontId="13" fillId="0" borderId="1" applyAlignment="1" pivotButton="0" quotePrefix="0" xfId="0">
      <alignment horizontal="left" vertical="top" wrapText="1"/>
    </xf>
    <xf numFmtId="165" fontId="21" fillId="0" borderId="1" applyAlignment="1" pivotButton="0" quotePrefix="0" xfId="0">
      <alignment horizontal="center" vertical="top" wrapText="1"/>
    </xf>
    <xf numFmtId="0" fontId="21" fillId="0" borderId="1" applyAlignment="1" pivotButton="0" quotePrefix="0" xfId="0">
      <alignment horizontal="center" vertical="top" wrapText="1"/>
    </xf>
    <xf numFmtId="0" fontId="22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8">
    <dxf>
      <fill>
        <patternFill patternType="solid">
          <fgColor rgb="001F3A5F"/>
          <bgColor rgb="001F3A5F"/>
        </patternFill>
      </fill>
    </dxf>
    <dxf>
      <fill>
        <patternFill patternType="solid">
          <fgColor rgb="002E9E5B"/>
          <bgColor rgb="002E9E5B"/>
        </patternFill>
      </fill>
    </dxf>
    <dxf>
      <fill>
        <patternFill patternType="solid">
          <fgColor rgb="00F2A93B"/>
          <bgColor rgb="00F2A93B"/>
        </patternFill>
      </fill>
    </dxf>
    <dxf>
      <fill>
        <patternFill patternType="solid">
          <fgColor rgb="009DB9DE"/>
          <bgColor rgb="009DB9DE"/>
        </patternFill>
      </fill>
    </dxf>
    <dxf>
      <border>
        <left style="medium">
          <color rgb="00D92D20"/>
        </left>
        <right style="medium">
          <color rgb="00D92D20"/>
        </right>
      </border>
    </dxf>
    <dxf>
      <fill>
        <patternFill patternType="solid">
          <fgColor rgb="00E6F4EC"/>
          <bgColor rgb="00E6F4EC"/>
        </patternFill>
      </fill>
    </dxf>
    <dxf>
      <fill>
        <patternFill patternType="solid">
          <fgColor rgb="00FDF1DE"/>
          <bgColor rgb="00FDF1DE"/>
        </patternFill>
      </fill>
    </dxf>
    <dxf>
      <fill>
        <patternFill patternType="solid">
          <fgColor rgb="00E8F0FA"/>
          <bgColor rgb="00E8F0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Gantt</author>
  </authors>
  <commentList>
    <comment ref="G3" authorId="0" shapeId="0">
      <text>
        <t>À modifier : le statut et l'avancement de chaque tâche se recalculent à partir de cette date.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59"/>
  <sheetViews>
    <sheetView showGridLines="0" workbookViewId="0">
      <pane xSplit="8" ySplit="5" topLeftCell="I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2" customWidth="1" min="2" max="2"/>
    <col width="10.5" customWidth="1" min="3" max="3"/>
    <col width="10.5" customWidth="1" min="4" max="4"/>
    <col width="8" customWidth="1" min="5" max="5"/>
    <col width="10.5" customWidth="1" min="6" max="6"/>
    <col width="11" customWidth="1" min="7" max="7"/>
    <col hidden="1" width="7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</cols>
  <sheetData>
    <row r="1">
      <c r="A1" s="1" t="inlineStr">
        <is>
          <t>Diagramme de Gantt du PFE — Overlyne</t>
        </is>
      </c>
      <c r="F1" s="2" t="inlineStr">
        <is>
          <t>Début du stage</t>
        </is>
      </c>
      <c r="G1" s="3" t="n">
        <v>46139</v>
      </c>
      <c r="I1" s="4" t="inlineStr">
        <is>
          <t>Légende</t>
        </is>
      </c>
      <c r="L1" s="5" t="inlineStr">
        <is>
          <t>Terminé</t>
        </is>
      </c>
      <c r="M1" s="6" t="n"/>
      <c r="N1" s="6" t="n"/>
      <c r="P1" s="7" t="inlineStr">
        <is>
          <t>En cours</t>
        </is>
      </c>
      <c r="Q1" s="8" t="n"/>
      <c r="R1" s="8" t="n"/>
      <c r="T1" s="9" t="inlineStr">
        <is>
          <t>Prévu</t>
        </is>
      </c>
      <c r="U1" s="10" t="n"/>
      <c r="V1" s="10" t="n"/>
      <c r="X1" s="11" t="inlineStr">
        <is>
          <t>Phase</t>
        </is>
      </c>
      <c r="Y1" s="12" t="n"/>
      <c r="Z1" s="12" t="n"/>
      <c r="AB1" s="13" t="inlineStr">
        <is>
          <t>◆ Jalon</t>
        </is>
      </c>
    </row>
    <row r="2">
      <c r="A2" s="14" t="inlineStr">
        <is>
          <t>Système d'Intelligence Décisionnelle pour ERP</t>
        </is>
      </c>
      <c r="F2" s="2" t="inlineStr">
        <is>
          <t>Fin du stage</t>
        </is>
      </c>
      <c r="G2" s="3" t="n">
        <v>46322</v>
      </c>
      <c r="I2" s="15" t="inlineStr">
        <is>
          <t>Dates en bleu : modifiables. Trait rouge : semaine de la date de mise à jour (G3).</t>
        </is>
      </c>
    </row>
    <row r="3">
      <c r="A3" s="16" t="inlineStr">
        <is>
          <t>Stage de fin d'études · Mahmoud Ben Hammouda · 27/04/2026 – 27/10/2026</t>
        </is>
      </c>
      <c r="F3" s="2" t="inlineStr">
        <is>
          <t>Date de mise à jour</t>
        </is>
      </c>
      <c r="G3" s="17" t="n">
        <v>46294</v>
      </c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8" t="inlineStr">
        <is>
          <t>avr. 26</t>
        </is>
      </c>
      <c r="J4" s="18" t="inlineStr">
        <is>
          <t>mai 26</t>
        </is>
      </c>
      <c r="K4" s="19" t="n"/>
      <c r="L4" s="19" t="n"/>
      <c r="M4" s="19" t="n"/>
      <c r="N4" s="18" t="inlineStr">
        <is>
          <t>juin 26</t>
        </is>
      </c>
      <c r="O4" s="19" t="n"/>
      <c r="P4" s="19" t="n"/>
      <c r="Q4" s="19" t="n"/>
      <c r="R4" s="19" t="n"/>
      <c r="S4" s="18" t="inlineStr">
        <is>
          <t>juil. 26</t>
        </is>
      </c>
      <c r="T4" s="19" t="n"/>
      <c r="U4" s="19" t="n"/>
      <c r="V4" s="19" t="n"/>
      <c r="W4" s="18" t="inlineStr">
        <is>
          <t>août 26</t>
        </is>
      </c>
      <c r="X4" s="19" t="n"/>
      <c r="Y4" s="19" t="n"/>
      <c r="Z4" s="19" t="n"/>
      <c r="AA4" s="19" t="n"/>
      <c r="AB4" s="18" t="inlineStr">
        <is>
          <t>sept. 26</t>
        </is>
      </c>
      <c r="AC4" s="19" t="n"/>
      <c r="AD4" s="19" t="n"/>
      <c r="AE4" s="19" t="n"/>
      <c r="AF4" s="18" t="inlineStr">
        <is>
          <t>oct. 26</t>
        </is>
      </c>
      <c r="AG4" s="19" t="n"/>
      <c r="AH4" s="19" t="n"/>
      <c r="AI4" s="19" t="n"/>
    </row>
    <row r="5" ht="38" customHeight="1">
      <c r="A5" s="20" t="inlineStr">
        <is>
          <t>N°</t>
        </is>
      </c>
      <c r="B5" s="20" t="inlineStr">
        <is>
          <t>Phase / tâche</t>
        </is>
      </c>
      <c r="C5" s="20" t="inlineStr">
        <is>
          <t>Début</t>
        </is>
      </c>
      <c r="D5" s="20" t="inlineStr">
        <is>
          <t>Fin</t>
        </is>
      </c>
      <c r="E5" s="20" t="inlineStr">
        <is>
          <t>Durée (j)</t>
        </is>
      </c>
      <c r="F5" s="20" t="inlineStr">
        <is>
          <t>Avancement</t>
        </is>
      </c>
      <c r="G5" s="20" t="inlineStr">
        <is>
          <t>Statut</t>
        </is>
      </c>
      <c r="H5" s="20" t="inlineStr">
        <is>
          <t>Type</t>
        </is>
      </c>
      <c r="I5" s="21" t="n">
        <v>46139</v>
      </c>
      <c r="J5" s="21" t="n">
        <v>46146</v>
      </c>
      <c r="K5" s="21" t="n">
        <v>46153</v>
      </c>
      <c r="L5" s="21" t="n">
        <v>46160</v>
      </c>
      <c r="M5" s="21" t="n">
        <v>46167</v>
      </c>
      <c r="N5" s="21" t="n">
        <v>46174</v>
      </c>
      <c r="O5" s="21" t="n">
        <v>46181</v>
      </c>
      <c r="P5" s="21" t="n">
        <v>46188</v>
      </c>
      <c r="Q5" s="21" t="n">
        <v>46195</v>
      </c>
      <c r="R5" s="21" t="n">
        <v>46202</v>
      </c>
      <c r="S5" s="21" t="n">
        <v>46209</v>
      </c>
      <c r="T5" s="21" t="n">
        <v>46216</v>
      </c>
      <c r="U5" s="21" t="n">
        <v>46223</v>
      </c>
      <c r="V5" s="21" t="n">
        <v>46230</v>
      </c>
      <c r="W5" s="21" t="n">
        <v>46237</v>
      </c>
      <c r="X5" s="21" t="n">
        <v>46244</v>
      </c>
      <c r="Y5" s="21" t="n">
        <v>46251</v>
      </c>
      <c r="Z5" s="21" t="n">
        <v>46258</v>
      </c>
      <c r="AA5" s="21" t="n">
        <v>46265</v>
      </c>
      <c r="AB5" s="21" t="n">
        <v>46272</v>
      </c>
      <c r="AC5" s="21" t="n">
        <v>46279</v>
      </c>
      <c r="AD5" s="21" t="n">
        <v>46286</v>
      </c>
      <c r="AE5" s="21" t="n">
        <v>46293</v>
      </c>
      <c r="AF5" s="21" t="n">
        <v>46300</v>
      </c>
      <c r="AG5" s="21" t="n">
        <v>46307</v>
      </c>
      <c r="AH5" s="21" t="n">
        <v>46314</v>
      </c>
      <c r="AI5" s="21" t="n">
        <v>46321</v>
      </c>
    </row>
    <row r="6" ht="19" customHeight="1">
      <c r="A6" s="22" t="inlineStr">
        <is>
          <t>1</t>
        </is>
      </c>
      <c r="B6" s="23" t="inlineStr">
        <is>
          <t>Cadrage, étude du métier et spécifications</t>
        </is>
      </c>
      <c r="C6" s="24">
        <f>MIN(C7:C11)</f>
        <v/>
      </c>
      <c r="D6" s="24">
        <f>MAX(D7:D11)</f>
        <v/>
      </c>
      <c r="E6" s="22">
        <f>D6-C6+1</f>
        <v/>
      </c>
      <c r="F6" s="25">
        <f>MAX(0,MIN(1,($G$3-C6+1)/(D6-C6+1)))</f>
        <v/>
      </c>
      <c r="G6" s="22">
        <f>IF(D6&lt;=$G$3,"Terminé",IF(C6&gt;$G$3,"Prévu","En cours"))</f>
        <v/>
      </c>
      <c r="H6" s="22" t="inlineStr">
        <is>
          <t>Phase</t>
        </is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  <c r="AB6" s="26" t="n"/>
      <c r="AC6" s="26" t="n"/>
      <c r="AD6" s="26" t="n"/>
      <c r="AE6" s="26" t="n"/>
      <c r="AF6" s="26" t="n"/>
      <c r="AG6" s="26" t="n"/>
      <c r="AH6" s="26" t="n"/>
      <c r="AI6" s="26" t="n"/>
    </row>
    <row r="7" ht="17" customHeight="1">
      <c r="A7" s="27" t="inlineStr">
        <is>
          <t>1.1</t>
        </is>
      </c>
      <c r="B7" s="28" t="inlineStr">
        <is>
          <t xml:space="preserve">   Immersion dans l'entreprise et étude de l'ERP</t>
        </is>
      </c>
      <c r="C7" s="29" t="n">
        <v>46139</v>
      </c>
      <c r="D7" s="29" t="n">
        <v>46152</v>
      </c>
      <c r="E7" s="27">
        <f>D7-C7+1</f>
        <v/>
      </c>
      <c r="F7" s="30">
        <f>MAX(0,MIN(1,($G$3-C7+1)/(D7-C7+1)))</f>
        <v/>
      </c>
      <c r="G7" s="27">
        <f>IF(D7&lt;=$G$3,"Terminé",IF(C7&gt;$G$3,"Prévu","En cours"))</f>
        <v/>
      </c>
      <c r="H7" s="27" t="inlineStr">
        <is>
          <t>Tâche</t>
        </is>
      </c>
      <c r="I7" s="31" t="n"/>
      <c r="J7" s="31" t="n"/>
      <c r="K7" s="31" t="n"/>
      <c r="L7" s="31" t="n"/>
      <c r="M7" s="31" t="n"/>
      <c r="N7" s="31" t="n"/>
      <c r="O7" s="31" t="n"/>
      <c r="P7" s="31" t="n"/>
      <c r="Q7" s="31" t="n"/>
      <c r="R7" s="31" t="n"/>
      <c r="S7" s="31" t="n"/>
      <c r="T7" s="31" t="n"/>
      <c r="U7" s="31" t="n"/>
      <c r="V7" s="31" t="n"/>
      <c r="W7" s="31" t="n"/>
      <c r="X7" s="31" t="n"/>
      <c r="Y7" s="31" t="n"/>
      <c r="Z7" s="31" t="n"/>
      <c r="AA7" s="31" t="n"/>
      <c r="AB7" s="31" t="n"/>
      <c r="AC7" s="31" t="n"/>
      <c r="AD7" s="31" t="n"/>
      <c r="AE7" s="31" t="n"/>
      <c r="AF7" s="31" t="n"/>
      <c r="AG7" s="31" t="n"/>
      <c r="AH7" s="31" t="n"/>
      <c r="AI7" s="31" t="n"/>
    </row>
    <row r="8" ht="17" customHeight="1">
      <c r="A8" s="27" t="inlineStr">
        <is>
          <t>1.2</t>
        </is>
      </c>
      <c r="B8" s="28" t="inlineStr">
        <is>
          <t xml:space="preserve">   État de l'art : Decision Intelligence, multi-agents, XAI</t>
        </is>
      </c>
      <c r="C8" s="29" t="n">
        <v>46146</v>
      </c>
      <c r="D8" s="29" t="n">
        <v>46166</v>
      </c>
      <c r="E8" s="27">
        <f>D8-C8+1</f>
        <v/>
      </c>
      <c r="F8" s="30">
        <f>MAX(0,MIN(1,($G$3-C8+1)/(D8-C8+1)))</f>
        <v/>
      </c>
      <c r="G8" s="27">
        <f>IF(D8&lt;=$G$3,"Terminé",IF(C8&gt;$G$3,"Prévu","En cours"))</f>
        <v/>
      </c>
      <c r="H8" s="27" t="inlineStr">
        <is>
          <t>Tâche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</row>
    <row r="9" ht="17" customHeight="1">
      <c r="A9" s="27" t="inlineStr">
        <is>
          <t>1.3</t>
        </is>
      </c>
      <c r="B9" s="28" t="inlineStr">
        <is>
          <t xml:space="preserve">   Cahier des charges, PRD et étude de marché</t>
        </is>
      </c>
      <c r="C9" s="29" t="n">
        <v>46160</v>
      </c>
      <c r="D9" s="29" t="n">
        <v>46176</v>
      </c>
      <c r="E9" s="27">
        <f>D9-C9+1</f>
        <v/>
      </c>
      <c r="F9" s="30">
        <f>MAX(0,MIN(1,($G$3-C9+1)/(D9-C9+1)))</f>
        <v/>
      </c>
      <c r="G9" s="27">
        <f>IF(D9&lt;=$G$3,"Terminé",IF(C9&gt;$G$3,"Prévu","En cours"))</f>
        <v/>
      </c>
      <c r="H9" s="27" t="inlineStr">
        <is>
          <t>Tâche</t>
        </is>
      </c>
      <c r="I9" s="31" t="n"/>
      <c r="J9" s="31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  <c r="U9" s="31" t="n"/>
      <c r="V9" s="31" t="n"/>
      <c r="W9" s="31" t="n"/>
      <c r="X9" s="31" t="n"/>
      <c r="Y9" s="31" t="n"/>
      <c r="Z9" s="31" t="n"/>
      <c r="AA9" s="31" t="n"/>
      <c r="AB9" s="31" t="n"/>
      <c r="AC9" s="31" t="n"/>
      <c r="AD9" s="31" t="n"/>
      <c r="AE9" s="31" t="n"/>
      <c r="AF9" s="31" t="n"/>
      <c r="AG9" s="31" t="n"/>
      <c r="AH9" s="31" t="n"/>
      <c r="AI9" s="31" t="n"/>
    </row>
    <row r="10" ht="17" customHeight="1">
      <c r="A10" s="27" t="inlineStr">
        <is>
          <t>1.4</t>
        </is>
      </c>
      <c r="B10" s="28" t="inlineStr">
        <is>
          <t xml:space="preserve">   Dictionnaire des données de l'ERP</t>
        </is>
      </c>
      <c r="C10" s="29" t="n">
        <v>46167</v>
      </c>
      <c r="D10" s="29" t="n">
        <v>46175</v>
      </c>
      <c r="E10" s="27">
        <f>D10-C10+1</f>
        <v/>
      </c>
      <c r="F10" s="30">
        <f>MAX(0,MIN(1,($G$3-C10+1)/(D10-C10+1)))</f>
        <v/>
      </c>
      <c r="G10" s="27">
        <f>IF(D10&lt;=$G$3,"Terminé",IF(C10&gt;$G$3,"Prévu","En cours"))</f>
        <v/>
      </c>
      <c r="H10" s="27" t="inlineStr">
        <is>
          <t>Tâche</t>
        </is>
      </c>
      <c r="I10" s="31" t="n"/>
      <c r="J10" s="31" t="n"/>
      <c r="K10" s="31" t="n"/>
      <c r="L10" s="31" t="n"/>
      <c r="M10" s="31" t="n"/>
      <c r="N10" s="31" t="n"/>
      <c r="O10" s="31" t="n"/>
      <c r="P10" s="31" t="n"/>
      <c r="Q10" s="31" t="n"/>
      <c r="R10" s="31" t="n"/>
      <c r="S10" s="31" t="n"/>
      <c r="T10" s="31" t="n"/>
      <c r="U10" s="31" t="n"/>
      <c r="V10" s="31" t="n"/>
      <c r="W10" s="31" t="n"/>
      <c r="X10" s="31" t="n"/>
      <c r="Y10" s="31" t="n"/>
      <c r="Z10" s="31" t="n"/>
      <c r="AA10" s="31" t="n"/>
      <c r="AB10" s="31" t="n"/>
      <c r="AC10" s="31" t="n"/>
      <c r="AD10" s="31" t="n"/>
      <c r="AE10" s="31" t="n"/>
      <c r="AF10" s="31" t="n"/>
      <c r="AG10" s="31" t="n"/>
      <c r="AH10" s="31" t="n"/>
      <c r="AI10" s="31" t="n"/>
    </row>
    <row r="11" ht="17" customHeight="1">
      <c r="A11" s="32" t="inlineStr">
        <is>
          <t>J1</t>
        </is>
      </c>
      <c r="B11" s="33" t="inlineStr">
        <is>
          <t>Premier dépôt du projet (git)</t>
        </is>
      </c>
      <c r="C11" s="34" t="n">
        <v>46176</v>
      </c>
      <c r="D11" s="34" t="n">
        <v>46176</v>
      </c>
      <c r="E11" s="32">
        <f>D11-C11+1</f>
        <v/>
      </c>
      <c r="F11" s="35">
        <f>MAX(0,MIN(1,($G$3-C11+1)/(D11-C11+1)))</f>
        <v/>
      </c>
      <c r="G11" s="32">
        <f>IF(D11&lt;=$G$3,"Terminé",IF(C11&gt;$G$3,"Prévu","En cours"))</f>
        <v/>
      </c>
      <c r="H11" s="32" t="inlineStr">
        <is>
          <t>Jalon</t>
        </is>
      </c>
      <c r="I11" s="36">
        <f>IF(AND(I$5&lt;=$C11,I$5+6&gt;=$C11),"◆","")</f>
        <v/>
      </c>
      <c r="J11" s="36">
        <f>IF(AND(J$5&lt;=$C11,J$5+6&gt;=$C11),"◆","")</f>
        <v/>
      </c>
      <c r="K11" s="36">
        <f>IF(AND(K$5&lt;=$C11,K$5+6&gt;=$C11),"◆","")</f>
        <v/>
      </c>
      <c r="L11" s="36">
        <f>IF(AND(L$5&lt;=$C11,L$5+6&gt;=$C11),"◆","")</f>
        <v/>
      </c>
      <c r="M11" s="36">
        <f>IF(AND(M$5&lt;=$C11,M$5+6&gt;=$C11),"◆","")</f>
        <v/>
      </c>
      <c r="N11" s="36">
        <f>IF(AND(N$5&lt;=$C11,N$5+6&gt;=$C11),"◆","")</f>
        <v/>
      </c>
      <c r="O11" s="36">
        <f>IF(AND(O$5&lt;=$C11,O$5+6&gt;=$C11),"◆","")</f>
        <v/>
      </c>
      <c r="P11" s="36">
        <f>IF(AND(P$5&lt;=$C11,P$5+6&gt;=$C11),"◆","")</f>
        <v/>
      </c>
      <c r="Q11" s="36">
        <f>IF(AND(Q$5&lt;=$C11,Q$5+6&gt;=$C11),"◆","")</f>
        <v/>
      </c>
      <c r="R11" s="36">
        <f>IF(AND(R$5&lt;=$C11,R$5+6&gt;=$C11),"◆","")</f>
        <v/>
      </c>
      <c r="S11" s="36">
        <f>IF(AND(S$5&lt;=$C11,S$5+6&gt;=$C11),"◆","")</f>
        <v/>
      </c>
      <c r="T11" s="36">
        <f>IF(AND(T$5&lt;=$C11,T$5+6&gt;=$C11),"◆","")</f>
        <v/>
      </c>
      <c r="U11" s="36">
        <f>IF(AND(U$5&lt;=$C11,U$5+6&gt;=$C11),"◆","")</f>
        <v/>
      </c>
      <c r="V11" s="36">
        <f>IF(AND(V$5&lt;=$C11,V$5+6&gt;=$C11),"◆","")</f>
        <v/>
      </c>
      <c r="W11" s="36">
        <f>IF(AND(W$5&lt;=$C11,W$5+6&gt;=$C11),"◆","")</f>
        <v/>
      </c>
      <c r="X11" s="36">
        <f>IF(AND(X$5&lt;=$C11,X$5+6&gt;=$C11),"◆","")</f>
        <v/>
      </c>
      <c r="Y11" s="36">
        <f>IF(AND(Y$5&lt;=$C11,Y$5+6&gt;=$C11),"◆","")</f>
        <v/>
      </c>
      <c r="Z11" s="36">
        <f>IF(AND(Z$5&lt;=$C11,Z$5+6&gt;=$C11),"◆","")</f>
        <v/>
      </c>
      <c r="AA11" s="36">
        <f>IF(AND(AA$5&lt;=$C11,AA$5+6&gt;=$C11),"◆","")</f>
        <v/>
      </c>
      <c r="AB11" s="36">
        <f>IF(AND(AB$5&lt;=$C11,AB$5+6&gt;=$C11),"◆","")</f>
        <v/>
      </c>
      <c r="AC11" s="36">
        <f>IF(AND(AC$5&lt;=$C11,AC$5+6&gt;=$C11),"◆","")</f>
        <v/>
      </c>
      <c r="AD11" s="36">
        <f>IF(AND(AD$5&lt;=$C11,AD$5+6&gt;=$C11),"◆","")</f>
        <v/>
      </c>
      <c r="AE11" s="36">
        <f>IF(AND(AE$5&lt;=$C11,AE$5+6&gt;=$C11),"◆","")</f>
        <v/>
      </c>
      <c r="AF11" s="36">
        <f>IF(AND(AF$5&lt;=$C11,AF$5+6&gt;=$C11),"◆","")</f>
        <v/>
      </c>
      <c r="AG11" s="36">
        <f>IF(AND(AG$5&lt;=$C11,AG$5+6&gt;=$C11),"◆","")</f>
        <v/>
      </c>
      <c r="AH11" s="36">
        <f>IF(AND(AH$5&lt;=$C11,AH$5+6&gt;=$C11),"◆","")</f>
        <v/>
      </c>
      <c r="AI11" s="36">
        <f>IF(AND(AI$5&lt;=$C11,AI$5+6&gt;=$C11),"◆","")</f>
        <v/>
      </c>
    </row>
    <row r="12" ht="19" customHeight="1">
      <c r="A12" s="22" t="inlineStr">
        <is>
          <t>2</t>
        </is>
      </c>
      <c r="B12" s="23" t="inlineStr">
        <is>
          <t>Données et Data Warehouse</t>
        </is>
      </c>
      <c r="C12" s="24">
        <f>MIN(C13:C15)</f>
        <v/>
      </c>
      <c r="D12" s="24">
        <f>MAX(D13:D15)</f>
        <v/>
      </c>
      <c r="E12" s="22">
        <f>D12-C12+1</f>
        <v/>
      </c>
      <c r="F12" s="25">
        <f>MAX(0,MIN(1,($G$3-C12+1)/(D12-C12+1)))</f>
        <v/>
      </c>
      <c r="G12" s="22">
        <f>IF(D12&lt;=$G$3,"Terminé",IF(C12&gt;$G$3,"Prévu","En cours"))</f>
        <v/>
      </c>
      <c r="H12" s="22" t="inlineStr">
        <is>
          <t>Phase</t>
        </is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6" t="n"/>
    </row>
    <row r="13" ht="17" customHeight="1">
      <c r="A13" s="27" t="inlineStr">
        <is>
          <t>2.1</t>
        </is>
      </c>
      <c r="B13" s="28" t="inlineStr">
        <is>
          <t xml:space="preserve">   Intégration et préparation des données</t>
        </is>
      </c>
      <c r="C13" s="29" t="n">
        <v>46169</v>
      </c>
      <c r="D13" s="29" t="n">
        <v>46185</v>
      </c>
      <c r="E13" s="27">
        <f>D13-C13+1</f>
        <v/>
      </c>
      <c r="F13" s="30">
        <f>MAX(0,MIN(1,($G$3-C13+1)/(D13-C13+1)))</f>
        <v/>
      </c>
      <c r="G13" s="27">
        <f>IF(D13&lt;=$G$3,"Terminé",IF(C13&gt;$G$3,"Prévu","En cours"))</f>
        <v/>
      </c>
      <c r="H13" s="27" t="inlineStr">
        <is>
          <t>Tâche</t>
        </is>
      </c>
      <c r="I13" s="31" t="n"/>
      <c r="J13" s="31" t="n"/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T13" s="31" t="n"/>
      <c r="U13" s="31" t="n"/>
      <c r="V13" s="31" t="n"/>
      <c r="W13" s="31" t="n"/>
      <c r="X13" s="31" t="n"/>
      <c r="Y13" s="31" t="n"/>
      <c r="Z13" s="31" t="n"/>
      <c r="AA13" s="31" t="n"/>
      <c r="AB13" s="31" t="n"/>
      <c r="AC13" s="31" t="n"/>
      <c r="AD13" s="31" t="n"/>
      <c r="AE13" s="31" t="n"/>
      <c r="AF13" s="31" t="n"/>
      <c r="AG13" s="31" t="n"/>
      <c r="AH13" s="31" t="n"/>
      <c r="AI13" s="31" t="n"/>
    </row>
    <row r="14" ht="17" customHeight="1">
      <c r="A14" s="27" t="inlineStr">
        <is>
          <t>2.2</t>
        </is>
      </c>
      <c r="B14" s="28" t="inlineStr">
        <is>
          <t xml:space="preserve">   Conception du Data Warehouse financier</t>
        </is>
      </c>
      <c r="C14" s="29" t="n">
        <v>46174</v>
      </c>
      <c r="D14" s="29" t="n">
        <v>46180</v>
      </c>
      <c r="E14" s="27">
        <f>D14-C14+1</f>
        <v/>
      </c>
      <c r="F14" s="30">
        <f>MAX(0,MIN(1,($G$3-C14+1)/(D14-C14+1)))</f>
        <v/>
      </c>
      <c r="G14" s="27">
        <f>IF(D14&lt;=$G$3,"Terminé",IF(C14&gt;$G$3,"Prévu","En cours"))</f>
        <v/>
      </c>
      <c r="H14" s="27" t="inlineStr">
        <is>
          <t>Tâche</t>
        </is>
      </c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  <c r="U14" s="31" t="n"/>
      <c r="V14" s="31" t="n"/>
      <c r="W14" s="31" t="n"/>
      <c r="X14" s="31" t="n"/>
      <c r="Y14" s="31" t="n"/>
      <c r="Z14" s="31" t="n"/>
      <c r="AA14" s="31" t="n"/>
      <c r="AB14" s="31" t="n"/>
      <c r="AC14" s="31" t="n"/>
      <c r="AD14" s="31" t="n"/>
      <c r="AE14" s="31" t="n"/>
      <c r="AF14" s="31" t="n"/>
      <c r="AG14" s="31" t="n"/>
      <c r="AH14" s="31" t="n"/>
      <c r="AI14" s="31" t="n"/>
    </row>
    <row r="15" ht="17" customHeight="1">
      <c r="A15" s="27" t="inlineStr">
        <is>
          <t>2.3</t>
        </is>
      </c>
      <c r="B15" s="28" t="inlineStr">
        <is>
          <t xml:space="preserve">   Indicateurs clés (KPI) et formules</t>
        </is>
      </c>
      <c r="C15" s="29" t="n">
        <v>46181</v>
      </c>
      <c r="D15" s="29" t="n">
        <v>46199</v>
      </c>
      <c r="E15" s="27">
        <f>D15-C15+1</f>
        <v/>
      </c>
      <c r="F15" s="30">
        <f>MAX(0,MIN(1,($G$3-C15+1)/(D15-C15+1)))</f>
        <v/>
      </c>
      <c r="G15" s="27">
        <f>IF(D15&lt;=$G$3,"Terminé",IF(C15&gt;$G$3,"Prévu","En cours"))</f>
        <v/>
      </c>
      <c r="H15" s="27" t="inlineStr">
        <is>
          <t>Tâche</t>
        </is>
      </c>
      <c r="I15" s="31" t="n"/>
      <c r="J15" s="31" t="n"/>
      <c r="K15" s="31" t="n"/>
      <c r="L15" s="31" t="n"/>
      <c r="M15" s="31" t="n"/>
      <c r="N15" s="31" t="n"/>
      <c r="O15" s="31" t="n"/>
      <c r="P15" s="31" t="n"/>
      <c r="Q15" s="31" t="n"/>
      <c r="R15" s="31" t="n"/>
      <c r="S15" s="31" t="n"/>
      <c r="T15" s="31" t="n"/>
      <c r="U15" s="31" t="n"/>
      <c r="V15" s="31" t="n"/>
      <c r="W15" s="31" t="n"/>
      <c r="X15" s="31" t="n"/>
      <c r="Y15" s="31" t="n"/>
      <c r="Z15" s="31" t="n"/>
      <c r="AA15" s="31" t="n"/>
      <c r="AB15" s="31" t="n"/>
      <c r="AC15" s="31" t="n"/>
      <c r="AD15" s="31" t="n"/>
      <c r="AE15" s="31" t="n"/>
      <c r="AF15" s="31" t="n"/>
      <c r="AG15" s="31" t="n"/>
      <c r="AH15" s="31" t="n"/>
      <c r="AI15" s="31" t="n"/>
    </row>
    <row r="16" ht="19" customHeight="1">
      <c r="A16" s="22" t="inlineStr">
        <is>
          <t>3</t>
        </is>
      </c>
      <c r="B16" s="23" t="inlineStr">
        <is>
          <t>Machine learning et science des données</t>
        </is>
      </c>
      <c r="C16" s="24">
        <f>MIN(C17:C23)</f>
        <v/>
      </c>
      <c r="D16" s="24">
        <f>MAX(D17:D23)</f>
        <v/>
      </c>
      <c r="E16" s="22">
        <f>D16-C16+1</f>
        <v/>
      </c>
      <c r="F16" s="25">
        <f>MAX(0,MIN(1,($G$3-C16+1)/(D16-C16+1)))</f>
        <v/>
      </c>
      <c r="G16" s="22">
        <f>IF(D16&lt;=$G$3,"Terminé",IF(C16&gt;$G$3,"Prévu","En cours"))</f>
        <v/>
      </c>
      <c r="H16" s="22" t="inlineStr">
        <is>
          <t>Phase</t>
        </is>
      </c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6" t="n"/>
      <c r="AI16" s="26" t="n"/>
    </row>
    <row r="17" ht="17" customHeight="1">
      <c r="A17" s="27" t="inlineStr">
        <is>
          <t>3.1</t>
        </is>
      </c>
      <c r="B17" s="28" t="inlineStr">
        <is>
          <t xml:space="preserve">   Premiers modèles et pipeline de modélisation</t>
        </is>
      </c>
      <c r="C17" s="29" t="n">
        <v>46176</v>
      </c>
      <c r="D17" s="29" t="n">
        <v>46185</v>
      </c>
      <c r="E17" s="27">
        <f>D17-C17+1</f>
        <v/>
      </c>
      <c r="F17" s="30">
        <f>MAX(0,MIN(1,($G$3-C17+1)/(D17-C17+1)))</f>
        <v/>
      </c>
      <c r="G17" s="27">
        <f>IF(D17&lt;=$G$3,"Terminé",IF(C17&gt;$G$3,"Prévu","En cours"))</f>
        <v/>
      </c>
      <c r="H17" s="27" t="inlineStr">
        <is>
          <t>Tâche</t>
        </is>
      </c>
      <c r="I17" s="31" t="n"/>
      <c r="J17" s="31" t="n"/>
      <c r="K17" s="31" t="n"/>
      <c r="L17" s="31" t="n"/>
      <c r="M17" s="31" t="n"/>
      <c r="N17" s="31" t="n"/>
      <c r="O17" s="31" t="n"/>
      <c r="P17" s="31" t="n"/>
      <c r="Q17" s="31" t="n"/>
      <c r="R17" s="31" t="n"/>
      <c r="S17" s="31" t="n"/>
      <c r="T17" s="31" t="n"/>
      <c r="U17" s="31" t="n"/>
      <c r="V17" s="31" t="n"/>
      <c r="W17" s="31" t="n"/>
      <c r="X17" s="31" t="n"/>
      <c r="Y17" s="31" t="n"/>
      <c r="Z17" s="31" t="n"/>
      <c r="AA17" s="31" t="n"/>
      <c r="AB17" s="31" t="n"/>
      <c r="AC17" s="31" t="n"/>
      <c r="AD17" s="31" t="n"/>
      <c r="AE17" s="31" t="n"/>
      <c r="AF17" s="31" t="n"/>
      <c r="AG17" s="31" t="n"/>
      <c r="AH17" s="31" t="n"/>
      <c r="AI17" s="31" t="n"/>
    </row>
    <row r="18" ht="17" customHeight="1">
      <c r="A18" s="27" t="inlineStr">
        <is>
          <t>3.2</t>
        </is>
      </c>
      <c r="B18" s="28" t="inlineStr">
        <is>
          <t xml:space="preserve">   Modèles prédictifs clients et ventes</t>
        </is>
      </c>
      <c r="C18" s="29" t="n">
        <v>46188</v>
      </c>
      <c r="D18" s="29" t="n">
        <v>46227</v>
      </c>
      <c r="E18" s="27">
        <f>D18-C18+1</f>
        <v/>
      </c>
      <c r="F18" s="30">
        <f>MAX(0,MIN(1,($G$3-C18+1)/(D18-C18+1)))</f>
        <v/>
      </c>
      <c r="G18" s="27">
        <f>IF(D18&lt;=$G$3,"Terminé",IF(C18&gt;$G$3,"Prévu","En cours"))</f>
        <v/>
      </c>
      <c r="H18" s="27" t="inlineStr">
        <is>
          <t>Tâche</t>
        </is>
      </c>
      <c r="I18" s="31" t="n"/>
      <c r="J18" s="31" t="n"/>
      <c r="K18" s="31" t="n"/>
      <c r="L18" s="31" t="n"/>
      <c r="M18" s="31" t="n"/>
      <c r="N18" s="31" t="n"/>
      <c r="O18" s="31" t="n"/>
      <c r="P18" s="31" t="n"/>
      <c r="Q18" s="31" t="n"/>
      <c r="R18" s="31" t="n"/>
      <c r="S18" s="31" t="n"/>
      <c r="T18" s="31" t="n"/>
      <c r="U18" s="31" t="n"/>
      <c r="V18" s="31" t="n"/>
      <c r="W18" s="31" t="n"/>
      <c r="X18" s="31" t="n"/>
      <c r="Y18" s="31" t="n"/>
      <c r="Z18" s="31" t="n"/>
      <c r="AA18" s="31" t="n"/>
      <c r="AB18" s="31" t="n"/>
      <c r="AC18" s="31" t="n"/>
      <c r="AD18" s="31" t="n"/>
      <c r="AE18" s="31" t="n"/>
      <c r="AF18" s="31" t="n"/>
      <c r="AG18" s="31" t="n"/>
      <c r="AH18" s="31" t="n"/>
      <c r="AI18" s="31" t="n"/>
    </row>
    <row r="19" ht="17" customHeight="1">
      <c r="A19" s="27" t="inlineStr">
        <is>
          <t>3.3</t>
        </is>
      </c>
      <c r="B19" s="28" t="inlineStr">
        <is>
          <t xml:space="preserve">   Prévision de la demande et de l'approvisionnement</t>
        </is>
      </c>
      <c r="C19" s="29" t="n">
        <v>46209</v>
      </c>
      <c r="D19" s="29" t="n">
        <v>46232</v>
      </c>
      <c r="E19" s="27">
        <f>D19-C19+1</f>
        <v/>
      </c>
      <c r="F19" s="30">
        <f>MAX(0,MIN(1,($G$3-C19+1)/(D19-C19+1)))</f>
        <v/>
      </c>
      <c r="G19" s="27">
        <f>IF(D19&lt;=$G$3,"Terminé",IF(C19&gt;$G$3,"Prévu","En cours"))</f>
        <v/>
      </c>
      <c r="H19" s="27" t="inlineStr">
        <is>
          <t>Tâche</t>
        </is>
      </c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1" t="n"/>
      <c r="AA19" s="31" t="n"/>
      <c r="AB19" s="31" t="n"/>
      <c r="AC19" s="31" t="n"/>
      <c r="AD19" s="31" t="n"/>
      <c r="AE19" s="31" t="n"/>
      <c r="AF19" s="31" t="n"/>
      <c r="AG19" s="31" t="n"/>
      <c r="AH19" s="31" t="n"/>
      <c r="AI19" s="31" t="n"/>
    </row>
    <row r="20" ht="17" customHeight="1">
      <c r="A20" s="27" t="inlineStr">
        <is>
          <t>3.4</t>
        </is>
      </c>
      <c r="B20" s="28" t="inlineStr">
        <is>
          <t xml:space="preserve">   Refonte data science : évaluation hors période (CRISP-DM)</t>
        </is>
      </c>
      <c r="C20" s="29" t="n">
        <v>46266</v>
      </c>
      <c r="D20" s="29" t="n">
        <v>46281</v>
      </c>
      <c r="E20" s="27">
        <f>D20-C20+1</f>
        <v/>
      </c>
      <c r="F20" s="30">
        <f>MAX(0,MIN(1,($G$3-C20+1)/(D20-C20+1)))</f>
        <v/>
      </c>
      <c r="G20" s="27">
        <f>IF(D20&lt;=$G$3,"Terminé",IF(C20&gt;$G$3,"Prévu","En cours"))</f>
        <v/>
      </c>
      <c r="H20" s="27" t="inlineStr">
        <is>
          <t>Tâche</t>
        </is>
      </c>
      <c r="I20" s="31" t="n"/>
      <c r="J20" s="31" t="n"/>
      <c r="K20" s="31" t="n"/>
      <c r="L20" s="31" t="n"/>
      <c r="M20" s="31" t="n"/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1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</row>
    <row r="21" ht="17" customHeight="1">
      <c r="A21" s="27" t="inlineStr">
        <is>
          <t>3.5</t>
        </is>
      </c>
      <c r="B21" s="28" t="inlineStr">
        <is>
          <t xml:space="preserve">   Registre des modèles et passerelle agents ↔ modèles</t>
        </is>
      </c>
      <c r="C21" s="29" t="n">
        <v>46272</v>
      </c>
      <c r="D21" s="29" t="n">
        <v>46283</v>
      </c>
      <c r="E21" s="27">
        <f>D21-C21+1</f>
        <v/>
      </c>
      <c r="F21" s="30">
        <f>MAX(0,MIN(1,($G$3-C21+1)/(D21-C21+1)))</f>
        <v/>
      </c>
      <c r="G21" s="27">
        <f>IF(D21&lt;=$G$3,"Terminé",IF(C21&gt;$G$3,"Prévu","En cours"))</f>
        <v/>
      </c>
      <c r="H21" s="27" t="inlineStr">
        <is>
          <t>Tâche</t>
        </is>
      </c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1" t="n"/>
      <c r="S21" s="31" t="n"/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</row>
    <row r="22" ht="17" customHeight="1">
      <c r="A22" s="27" t="inlineStr">
        <is>
          <t>3.6</t>
        </is>
      </c>
      <c r="B22" s="28" t="inlineStr">
        <is>
          <t xml:space="preserve">   Deep learning : recommandation Wide &amp; Deep (PyTorch)</t>
        </is>
      </c>
      <c r="C22" s="29" t="n">
        <v>46273</v>
      </c>
      <c r="D22" s="29" t="n">
        <v>46284</v>
      </c>
      <c r="E22" s="27">
        <f>D22-C22+1</f>
        <v/>
      </c>
      <c r="F22" s="30">
        <f>MAX(0,MIN(1,($G$3-C22+1)/(D22-C22+1)))</f>
        <v/>
      </c>
      <c r="G22" s="27">
        <f>IF(D22&lt;=$G$3,"Terminé",IF(C22&gt;$G$3,"Prévu","En cours"))</f>
        <v/>
      </c>
      <c r="H22" s="27" t="inlineStr">
        <is>
          <t>Tâche</t>
        </is>
      </c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</row>
    <row r="23" ht="17" customHeight="1">
      <c r="A23" s="27" t="inlineStr">
        <is>
          <t>3.7</t>
        </is>
      </c>
      <c r="B23" s="28" t="inlineStr">
        <is>
          <t xml:space="preserve">   Demande par référence (CRISP-DM, 31 méthodes) et diagnostic</t>
        </is>
      </c>
      <c r="C23" s="29" t="n">
        <v>46283</v>
      </c>
      <c r="D23" s="29" t="n">
        <v>46292</v>
      </c>
      <c r="E23" s="27">
        <f>D23-C23+1</f>
        <v/>
      </c>
      <c r="F23" s="30">
        <f>MAX(0,MIN(1,($G$3-C23+1)/(D23-C23+1)))</f>
        <v/>
      </c>
      <c r="G23" s="27">
        <f>IF(D23&lt;=$G$3,"Terminé",IF(C23&gt;$G$3,"Prévu","En cours"))</f>
        <v/>
      </c>
      <c r="H23" s="27" t="inlineStr">
        <is>
          <t>Tâche</t>
        </is>
      </c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</row>
    <row r="24" ht="19" customHeight="1">
      <c r="A24" s="22" t="inlineStr">
        <is>
          <t>4</t>
        </is>
      </c>
      <c r="B24" s="23" t="inlineStr">
        <is>
          <t>Agents IA et explicabilité</t>
        </is>
      </c>
      <c r="C24" s="24">
        <f>MIN(C25:C30)</f>
        <v/>
      </c>
      <c r="D24" s="24">
        <f>MAX(D25:D30)</f>
        <v/>
      </c>
      <c r="E24" s="22">
        <f>D24-C24+1</f>
        <v/>
      </c>
      <c r="F24" s="25">
        <f>MAX(0,MIN(1,($G$3-C24+1)/(D24-C24+1)))</f>
        <v/>
      </c>
      <c r="G24" s="22">
        <f>IF(D24&lt;=$G$3,"Terminé",IF(C24&gt;$G$3,"Prévu","En cours"))</f>
        <v/>
      </c>
      <c r="H24" s="22" t="inlineStr">
        <is>
          <t>Phase</t>
        </is>
      </c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</row>
    <row r="25" ht="17" customHeight="1">
      <c r="A25" s="27" t="inlineStr">
        <is>
          <t>4.1</t>
        </is>
      </c>
      <c r="B25" s="28" t="inlineStr">
        <is>
          <t xml:space="preserve">   Premier graphe d'agents LangGraph</t>
        </is>
      </c>
      <c r="C25" s="29" t="n">
        <v>46181</v>
      </c>
      <c r="D25" s="29" t="n">
        <v>46185</v>
      </c>
      <c r="E25" s="27">
        <f>D25-C25+1</f>
        <v/>
      </c>
      <c r="F25" s="30">
        <f>MAX(0,MIN(1,($G$3-C25+1)/(D25-C25+1)))</f>
        <v/>
      </c>
      <c r="G25" s="27">
        <f>IF(D25&lt;=$G$3,"Terminé",IF(C25&gt;$G$3,"Prévu","En cours"))</f>
        <v/>
      </c>
      <c r="H25" s="27" t="inlineStr">
        <is>
          <t>Tâche</t>
        </is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B25" s="31" t="n"/>
      <c r="AC25" s="31" t="n"/>
      <c r="AD25" s="31" t="n"/>
      <c r="AE25" s="31" t="n"/>
      <c r="AF25" s="31" t="n"/>
      <c r="AG25" s="31" t="n"/>
      <c r="AH25" s="31" t="n"/>
      <c r="AI25" s="31" t="n"/>
    </row>
    <row r="26" ht="17" customHeight="1">
      <c r="A26" s="27" t="inlineStr">
        <is>
          <t>4.2</t>
        </is>
      </c>
      <c r="B26" s="28" t="inlineStr">
        <is>
          <t xml:space="preserve">   Flotte multi-agents d'aide à la décision</t>
        </is>
      </c>
      <c r="C26" s="29" t="n">
        <v>46202</v>
      </c>
      <c r="D26" s="29" t="n">
        <v>46232</v>
      </c>
      <c r="E26" s="27">
        <f>D26-C26+1</f>
        <v/>
      </c>
      <c r="F26" s="30">
        <f>MAX(0,MIN(1,($G$3-C26+1)/(D26-C26+1)))</f>
        <v/>
      </c>
      <c r="G26" s="27">
        <f>IF(D26&lt;=$G$3,"Terminé",IF(C26&gt;$G$3,"Prévu","En cours"))</f>
        <v/>
      </c>
      <c r="H26" s="27" t="inlineStr">
        <is>
          <t>Tâche</t>
        </is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B26" s="31" t="n"/>
      <c r="AC26" s="31" t="n"/>
      <c r="AD26" s="31" t="n"/>
      <c r="AE26" s="31" t="n"/>
      <c r="AF26" s="31" t="n"/>
      <c r="AG26" s="31" t="n"/>
      <c r="AH26" s="31" t="n"/>
      <c r="AI26" s="31" t="n"/>
    </row>
    <row r="27" ht="17" customHeight="1">
      <c r="A27" s="27" t="inlineStr">
        <is>
          <t>4.3</t>
        </is>
      </c>
      <c r="B27" s="28" t="inlineStr">
        <is>
          <t xml:space="preserve">   Copilote FinBot et pipeline RAG</t>
        </is>
      </c>
      <c r="C27" s="29" t="n">
        <v>46209</v>
      </c>
      <c r="D27" s="29" t="n">
        <v>46232</v>
      </c>
      <c r="E27" s="27">
        <f>D27-C27+1</f>
        <v/>
      </c>
      <c r="F27" s="30">
        <f>MAX(0,MIN(1,($G$3-C27+1)/(D27-C27+1)))</f>
        <v/>
      </c>
      <c r="G27" s="27">
        <f>IF(D27&lt;=$G$3,"Terminé",IF(C27&gt;$G$3,"Prévu","En cours"))</f>
        <v/>
      </c>
      <c r="H27" s="27" t="inlineStr">
        <is>
          <t>Tâche</t>
        </is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B27" s="31" t="n"/>
      <c r="AC27" s="31" t="n"/>
      <c r="AD27" s="31" t="n"/>
      <c r="AE27" s="31" t="n"/>
      <c r="AF27" s="31" t="n"/>
      <c r="AG27" s="31" t="n"/>
      <c r="AH27" s="31" t="n"/>
      <c r="AI27" s="31" t="n"/>
    </row>
    <row r="28" ht="17" customHeight="1">
      <c r="A28" s="27" t="inlineStr">
        <is>
          <t>4.4</t>
        </is>
      </c>
      <c r="B28" s="28" t="inlineStr">
        <is>
          <t xml:space="preserve">   Veille des appels d'offres (prototype)</t>
        </is>
      </c>
      <c r="C28" s="29" t="n">
        <v>46216</v>
      </c>
      <c r="D28" s="29" t="n">
        <v>46232</v>
      </c>
      <c r="E28" s="27">
        <f>D28-C28+1</f>
        <v/>
      </c>
      <c r="F28" s="30">
        <f>MAX(0,MIN(1,($G$3-C28+1)/(D28-C28+1)))</f>
        <v/>
      </c>
      <c r="G28" s="27">
        <f>IF(D28&lt;=$G$3,"Terminé",IF(C28&gt;$G$3,"Prévu","En cours"))</f>
        <v/>
      </c>
      <c r="H28" s="27" t="inlineStr">
        <is>
          <t>Tâche</t>
        </is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B28" s="31" t="n"/>
      <c r="AC28" s="31" t="n"/>
      <c r="AD28" s="31" t="n"/>
      <c r="AE28" s="31" t="n"/>
      <c r="AF28" s="31" t="n"/>
      <c r="AG28" s="31" t="n"/>
      <c r="AH28" s="31" t="n"/>
      <c r="AI28" s="31" t="n"/>
    </row>
    <row r="29" ht="17" customHeight="1">
      <c r="A29" s="27" t="inlineStr">
        <is>
          <t>4.5</t>
        </is>
      </c>
      <c r="B29" s="28" t="inlineStr">
        <is>
          <t xml:space="preserve">   Module d'IA explicable (XAI)</t>
        </is>
      </c>
      <c r="C29" s="29" t="n">
        <v>46266</v>
      </c>
      <c r="D29" s="29" t="n">
        <v>46280</v>
      </c>
      <c r="E29" s="27">
        <f>D29-C29+1</f>
        <v/>
      </c>
      <c r="F29" s="30">
        <f>MAX(0,MIN(1,($G$3-C29+1)/(D29-C29+1)))</f>
        <v/>
      </c>
      <c r="G29" s="27">
        <f>IF(D29&lt;=$G$3,"Terminé",IF(C29&gt;$G$3,"Prévu","En cours"))</f>
        <v/>
      </c>
      <c r="H29" s="27" t="inlineStr">
        <is>
          <t>Tâche</t>
        </is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B29" s="31" t="n"/>
      <c r="AC29" s="31" t="n"/>
      <c r="AD29" s="31" t="n"/>
      <c r="AE29" s="31" t="n"/>
      <c r="AF29" s="31" t="n"/>
      <c r="AG29" s="31" t="n"/>
      <c r="AH29" s="31" t="n"/>
      <c r="AI29" s="31" t="n"/>
    </row>
    <row r="30" ht="17" customHeight="1">
      <c r="A30" s="27" t="inlineStr">
        <is>
          <t>4.6</t>
        </is>
      </c>
      <c r="B30" s="28" t="inlineStr">
        <is>
          <t xml:space="preserve">   Restructuration de la flotte : 5 agents et volet fiabilité</t>
        </is>
      </c>
      <c r="C30" s="29" t="n">
        <v>46282</v>
      </c>
      <c r="D30" s="29" t="n">
        <v>46287</v>
      </c>
      <c r="E30" s="27">
        <f>D30-C30+1</f>
        <v/>
      </c>
      <c r="F30" s="30">
        <f>MAX(0,MIN(1,($G$3-C30+1)/(D30-C30+1)))</f>
        <v/>
      </c>
      <c r="G30" s="27">
        <f>IF(D30&lt;=$G$3,"Terminé",IF(C30&gt;$G$3,"Prévu","En cours"))</f>
        <v/>
      </c>
      <c r="H30" s="27" t="inlineStr">
        <is>
          <t>Tâche</t>
        </is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B30" s="31" t="n"/>
      <c r="AC30" s="31" t="n"/>
      <c r="AD30" s="31" t="n"/>
      <c r="AE30" s="31" t="n"/>
      <c r="AF30" s="31" t="n"/>
      <c r="AG30" s="31" t="n"/>
      <c r="AH30" s="31" t="n"/>
      <c r="AI30" s="31" t="n"/>
    </row>
    <row r="31" ht="19" customHeight="1">
      <c r="A31" s="22" t="inlineStr">
        <is>
          <t>5</t>
        </is>
      </c>
      <c r="B31" s="23" t="inlineStr">
        <is>
          <t>Plateforme web et sécurité</t>
        </is>
      </c>
      <c r="C31" s="24">
        <f>MIN(C32:C40)</f>
        <v/>
      </c>
      <c r="D31" s="24">
        <f>MAX(D32:D40)</f>
        <v/>
      </c>
      <c r="E31" s="22">
        <f>D31-C31+1</f>
        <v/>
      </c>
      <c r="F31" s="25">
        <f>MAX(0,MIN(1,($G$3-C31+1)/(D31-C31+1)))</f>
        <v/>
      </c>
      <c r="G31" s="22">
        <f>IF(D31&lt;=$G$3,"Terminé",IF(C31&gt;$G$3,"Prévu","En cours"))</f>
        <v/>
      </c>
      <c r="H31" s="22" t="inlineStr">
        <is>
          <t>Phase</t>
        </is>
      </c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6" t="n"/>
      <c r="AC31" s="26" t="n"/>
      <c r="AD31" s="26" t="n"/>
      <c r="AE31" s="26" t="n"/>
      <c r="AF31" s="26" t="n"/>
      <c r="AG31" s="26" t="n"/>
      <c r="AH31" s="26" t="n"/>
      <c r="AI31" s="26" t="n"/>
    </row>
    <row r="32" ht="17" customHeight="1">
      <c r="A32" s="27" t="inlineStr">
        <is>
          <t>5.1</t>
        </is>
      </c>
      <c r="B32" s="28" t="inlineStr">
        <is>
          <t xml:space="preserve">   Tableau de bord décisionnel (Next.js / React)</t>
        </is>
      </c>
      <c r="C32" s="29" t="n">
        <v>46188</v>
      </c>
      <c r="D32" s="29" t="n">
        <v>46232</v>
      </c>
      <c r="E32" s="27">
        <f>D32-C32+1</f>
        <v/>
      </c>
      <c r="F32" s="30">
        <f>MAX(0,MIN(1,($G$3-C32+1)/(D32-C32+1)))</f>
        <v/>
      </c>
      <c r="G32" s="27">
        <f>IF(D32&lt;=$G$3,"Terminé",IF(C32&gt;$G$3,"Prévu","En cours"))</f>
        <v/>
      </c>
      <c r="H32" s="27" t="inlineStr">
        <is>
          <t>Tâche</t>
        </is>
      </c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B32" s="31" t="n"/>
      <c r="AC32" s="31" t="n"/>
      <c r="AD32" s="31" t="n"/>
      <c r="AE32" s="31" t="n"/>
      <c r="AF32" s="31" t="n"/>
      <c r="AG32" s="31" t="n"/>
      <c r="AH32" s="31" t="n"/>
      <c r="AI32" s="31" t="n"/>
    </row>
    <row r="33" ht="17" customHeight="1">
      <c r="A33" s="27" t="inlineStr">
        <is>
          <t>5.2</t>
        </is>
      </c>
      <c r="B33" s="28" t="inlineStr">
        <is>
          <t xml:space="preserve">   API FastAPI, authentification, rôles et isolation</t>
        </is>
      </c>
      <c r="C33" s="29" t="n">
        <v>46223</v>
      </c>
      <c r="D33" s="29" t="n">
        <v>46265</v>
      </c>
      <c r="E33" s="27">
        <f>D33-C33+1</f>
        <v/>
      </c>
      <c r="F33" s="30">
        <f>MAX(0,MIN(1,($G$3-C33+1)/(D33-C33+1)))</f>
        <v/>
      </c>
      <c r="G33" s="27">
        <f>IF(D33&lt;=$G$3,"Terminé",IF(C33&gt;$G$3,"Prévu","En cours"))</f>
        <v/>
      </c>
      <c r="H33" s="27" t="inlineStr">
        <is>
          <t>Tâche</t>
        </is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B33" s="31" t="n"/>
      <c r="AC33" s="31" t="n"/>
      <c r="AD33" s="31" t="n"/>
      <c r="AE33" s="31" t="n"/>
      <c r="AF33" s="31" t="n"/>
      <c r="AG33" s="31" t="n"/>
      <c r="AH33" s="31" t="n"/>
      <c r="AI33" s="31" t="n"/>
    </row>
    <row r="34" ht="17" customHeight="1">
      <c r="A34" s="27" t="inlineStr">
        <is>
          <t>5.3</t>
        </is>
      </c>
      <c r="B34" s="28" t="inlineStr">
        <is>
          <t xml:space="preserve">   Avatar 3D de l'assistant (Three.js)</t>
        </is>
      </c>
      <c r="C34" s="29" t="n">
        <v>46244</v>
      </c>
      <c r="D34" s="29" t="n">
        <v>46258</v>
      </c>
      <c r="E34" s="27">
        <f>D34-C34+1</f>
        <v/>
      </c>
      <c r="F34" s="30">
        <f>MAX(0,MIN(1,($G$3-C34+1)/(D34-C34+1)))</f>
        <v/>
      </c>
      <c r="G34" s="27">
        <f>IF(D34&lt;=$G$3,"Terminé",IF(C34&gt;$G$3,"Prévu","En cours"))</f>
        <v/>
      </c>
      <c r="H34" s="27" t="inlineStr">
        <is>
          <t>Tâche</t>
        </is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</row>
    <row r="35" ht="17" customHeight="1">
      <c r="A35" s="27" t="inlineStr">
        <is>
          <t>5.4</t>
        </is>
      </c>
      <c r="B35" s="28" t="inlineStr">
        <is>
          <t xml:space="preserve">   Simulation de scénarios d'encaissement (et si… ?)</t>
        </is>
      </c>
      <c r="C35" s="29" t="n">
        <v>46258</v>
      </c>
      <c r="D35" s="29" t="n">
        <v>46269</v>
      </c>
      <c r="E35" s="27">
        <f>D35-C35+1</f>
        <v/>
      </c>
      <c r="F35" s="30">
        <f>MAX(0,MIN(1,($G$3-C35+1)/(D35-C35+1)))</f>
        <v/>
      </c>
      <c r="G35" s="27">
        <f>IF(D35&lt;=$G$3,"Terminé",IF(C35&gt;$G$3,"Prévu","En cours"))</f>
        <v/>
      </c>
      <c r="H35" s="27" t="inlineStr">
        <is>
          <t>Tâche</t>
        </is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B35" s="31" t="n"/>
      <c r="AC35" s="31" t="n"/>
      <c r="AD35" s="31" t="n"/>
      <c r="AE35" s="31" t="n"/>
      <c r="AF35" s="31" t="n"/>
      <c r="AG35" s="31" t="n"/>
      <c r="AH35" s="31" t="n"/>
      <c r="AI35" s="31" t="n"/>
    </row>
    <row r="36" ht="17" customHeight="1">
      <c r="A36" s="27" t="inlineStr">
        <is>
          <t>5.5</t>
        </is>
      </c>
      <c r="B36" s="28" t="inlineStr">
        <is>
          <t xml:space="preserve">   Boucle d'action : tâches, actions clients, mesure d'impact</t>
        </is>
      </c>
      <c r="C36" s="29" t="n">
        <v>46266</v>
      </c>
      <c r="D36" s="29" t="n">
        <v>46277</v>
      </c>
      <c r="E36" s="27">
        <f>D36-C36+1</f>
        <v/>
      </c>
      <c r="F36" s="30">
        <f>MAX(0,MIN(1,($G$3-C36+1)/(D36-C36+1)))</f>
        <v/>
      </c>
      <c r="G36" s="27">
        <f>IF(D36&lt;=$G$3,"Terminé",IF(C36&gt;$G$3,"Prévu","En cours"))</f>
        <v/>
      </c>
      <c r="H36" s="27" t="inlineStr">
        <is>
          <t>Tâche</t>
        </is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B36" s="31" t="n"/>
      <c r="AC36" s="31" t="n"/>
      <c r="AD36" s="31" t="n"/>
      <c r="AE36" s="31" t="n"/>
      <c r="AF36" s="31" t="n"/>
      <c r="AG36" s="31" t="n"/>
      <c r="AH36" s="31" t="n"/>
      <c r="AI36" s="31" t="n"/>
    </row>
    <row r="37" ht="17" customHeight="1">
      <c r="A37" s="27" t="inlineStr">
        <is>
          <t>5.6</t>
        </is>
      </c>
      <c r="B37" s="28" t="inlineStr">
        <is>
          <t xml:space="preserve">   Portail d'administration et espace client</t>
        </is>
      </c>
      <c r="C37" s="29" t="n">
        <v>46251</v>
      </c>
      <c r="D37" s="29" t="n">
        <v>46270</v>
      </c>
      <c r="E37" s="27">
        <f>D37-C37+1</f>
        <v/>
      </c>
      <c r="F37" s="30">
        <f>MAX(0,MIN(1,($G$3-C37+1)/(D37-C37+1)))</f>
        <v/>
      </c>
      <c r="G37" s="27">
        <f>IF(D37&lt;=$G$3,"Terminé",IF(C37&gt;$G$3,"Prévu","En cours"))</f>
        <v/>
      </c>
      <c r="H37" s="27" t="inlineStr">
        <is>
          <t>Tâche</t>
        </is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</row>
    <row r="38" ht="17" customHeight="1">
      <c r="A38" s="27" t="inlineStr">
        <is>
          <t>5.7</t>
        </is>
      </c>
      <c r="B38" s="28" t="inlineStr">
        <is>
          <t xml:space="preserve">   Conteneurisation Docker, PostgreSQL et intégration continue</t>
        </is>
      </c>
      <c r="C38" s="29" t="n">
        <v>46230</v>
      </c>
      <c r="D38" s="29" t="n">
        <v>46277</v>
      </c>
      <c r="E38" s="27">
        <f>D38-C38+1</f>
        <v/>
      </c>
      <c r="F38" s="30">
        <f>MAX(0,MIN(1,($G$3-C38+1)/(D38-C38+1)))</f>
        <v/>
      </c>
      <c r="G38" s="27">
        <f>IF(D38&lt;=$G$3,"Terminé",IF(C38&gt;$G$3,"Prévu","En cours"))</f>
        <v/>
      </c>
      <c r="H38" s="27" t="inlineStr">
        <is>
          <t>Tâche</t>
        </is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B38" s="31" t="n"/>
      <c r="AC38" s="31" t="n"/>
      <c r="AD38" s="31" t="n"/>
      <c r="AE38" s="31" t="n"/>
      <c r="AF38" s="31" t="n"/>
      <c r="AG38" s="31" t="n"/>
      <c r="AH38" s="31" t="n"/>
      <c r="AI38" s="31" t="n"/>
    </row>
    <row r="39" ht="17" customHeight="1">
      <c r="A39" s="27" t="inlineStr">
        <is>
          <t>5.8</t>
        </is>
      </c>
      <c r="B39" s="28" t="inlineStr">
        <is>
          <t xml:space="preserve">   Délégation autonome de la flotte d'agents</t>
        </is>
      </c>
      <c r="C39" s="29" t="n">
        <v>46294</v>
      </c>
      <c r="D39" s="29" t="n">
        <v>46294</v>
      </c>
      <c r="E39" s="27">
        <f>D39-C39+1</f>
        <v/>
      </c>
      <c r="F39" s="30">
        <f>MAX(0,MIN(1,($G$3-C39+1)/(D39-C39+1)))</f>
        <v/>
      </c>
      <c r="G39" s="27">
        <f>IF(D39&lt;=$G$3,"Terminé",IF(C39&gt;$G$3,"Prévu","En cours"))</f>
        <v/>
      </c>
      <c r="H39" s="27" t="inlineStr">
        <is>
          <t>Tâche</t>
        </is>
      </c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B39" s="31" t="n"/>
      <c r="AC39" s="31" t="n"/>
      <c r="AD39" s="31" t="n"/>
      <c r="AE39" s="31" t="n"/>
      <c r="AF39" s="31" t="n"/>
      <c r="AG39" s="31" t="n"/>
      <c r="AH39" s="31" t="n"/>
      <c r="AI39" s="31" t="n"/>
    </row>
    <row r="40" ht="17" customHeight="1">
      <c r="A40" s="32" t="inlineStr">
        <is>
          <t>J2</t>
        </is>
      </c>
      <c r="B40" s="33" t="inlineStr">
        <is>
          <t>Plateforme intégrée (agents, RAG, tableau de bord)</t>
        </is>
      </c>
      <c r="C40" s="34" t="n">
        <v>46232</v>
      </c>
      <c r="D40" s="34" t="n">
        <v>46232</v>
      </c>
      <c r="E40" s="32">
        <f>D40-C40+1</f>
        <v/>
      </c>
      <c r="F40" s="35">
        <f>MAX(0,MIN(1,($G$3-C40+1)/(D40-C40+1)))</f>
        <v/>
      </c>
      <c r="G40" s="32">
        <f>IF(D40&lt;=$G$3,"Terminé",IF(C40&gt;$G$3,"Prévu","En cours"))</f>
        <v/>
      </c>
      <c r="H40" s="32" t="inlineStr">
        <is>
          <t>Jalon</t>
        </is>
      </c>
      <c r="I40" s="36">
        <f>IF(AND(I$5&lt;=$C40,I$5+6&gt;=$C40),"◆","")</f>
        <v/>
      </c>
      <c r="J40" s="36">
        <f>IF(AND(J$5&lt;=$C40,J$5+6&gt;=$C40),"◆","")</f>
        <v/>
      </c>
      <c r="K40" s="36">
        <f>IF(AND(K$5&lt;=$C40,K$5+6&gt;=$C40),"◆","")</f>
        <v/>
      </c>
      <c r="L40" s="36">
        <f>IF(AND(L$5&lt;=$C40,L$5+6&gt;=$C40),"◆","")</f>
        <v/>
      </c>
      <c r="M40" s="36">
        <f>IF(AND(M$5&lt;=$C40,M$5+6&gt;=$C40),"◆","")</f>
        <v/>
      </c>
      <c r="N40" s="36">
        <f>IF(AND(N$5&lt;=$C40,N$5+6&gt;=$C40),"◆","")</f>
        <v/>
      </c>
      <c r="O40" s="36">
        <f>IF(AND(O$5&lt;=$C40,O$5+6&gt;=$C40),"◆","")</f>
        <v/>
      </c>
      <c r="P40" s="36">
        <f>IF(AND(P$5&lt;=$C40,P$5+6&gt;=$C40),"◆","")</f>
        <v/>
      </c>
      <c r="Q40" s="36">
        <f>IF(AND(Q$5&lt;=$C40,Q$5+6&gt;=$C40),"◆","")</f>
        <v/>
      </c>
      <c r="R40" s="36">
        <f>IF(AND(R$5&lt;=$C40,R$5+6&gt;=$C40),"◆","")</f>
        <v/>
      </c>
      <c r="S40" s="36">
        <f>IF(AND(S$5&lt;=$C40,S$5+6&gt;=$C40),"◆","")</f>
        <v/>
      </c>
      <c r="T40" s="36">
        <f>IF(AND(T$5&lt;=$C40,T$5+6&gt;=$C40),"◆","")</f>
        <v/>
      </c>
      <c r="U40" s="36">
        <f>IF(AND(U$5&lt;=$C40,U$5+6&gt;=$C40),"◆","")</f>
        <v/>
      </c>
      <c r="V40" s="36">
        <f>IF(AND(V$5&lt;=$C40,V$5+6&gt;=$C40),"◆","")</f>
        <v/>
      </c>
      <c r="W40" s="36">
        <f>IF(AND(W$5&lt;=$C40,W$5+6&gt;=$C40),"◆","")</f>
        <v/>
      </c>
      <c r="X40" s="36">
        <f>IF(AND(X$5&lt;=$C40,X$5+6&gt;=$C40),"◆","")</f>
        <v/>
      </c>
      <c r="Y40" s="36">
        <f>IF(AND(Y$5&lt;=$C40,Y$5+6&gt;=$C40),"◆","")</f>
        <v/>
      </c>
      <c r="Z40" s="36">
        <f>IF(AND(Z$5&lt;=$C40,Z$5+6&gt;=$C40),"◆","")</f>
        <v/>
      </c>
      <c r="AA40" s="36">
        <f>IF(AND(AA$5&lt;=$C40,AA$5+6&gt;=$C40),"◆","")</f>
        <v/>
      </c>
      <c r="AB40" s="36">
        <f>IF(AND(AB$5&lt;=$C40,AB$5+6&gt;=$C40),"◆","")</f>
        <v/>
      </c>
      <c r="AC40" s="36">
        <f>IF(AND(AC$5&lt;=$C40,AC$5+6&gt;=$C40),"◆","")</f>
        <v/>
      </c>
      <c r="AD40" s="36">
        <f>IF(AND(AD$5&lt;=$C40,AD$5+6&gt;=$C40),"◆","")</f>
        <v/>
      </c>
      <c r="AE40" s="36">
        <f>IF(AND(AE$5&lt;=$C40,AE$5+6&gt;=$C40),"◆","")</f>
        <v/>
      </c>
      <c r="AF40" s="36">
        <f>IF(AND(AF$5&lt;=$C40,AF$5+6&gt;=$C40),"◆","")</f>
        <v/>
      </c>
      <c r="AG40" s="36">
        <f>IF(AND(AG$5&lt;=$C40,AG$5+6&gt;=$C40),"◆","")</f>
        <v/>
      </c>
      <c r="AH40" s="36">
        <f>IF(AND(AH$5&lt;=$C40,AH$5+6&gt;=$C40),"◆","")</f>
        <v/>
      </c>
      <c r="AI40" s="36">
        <f>IF(AND(AI$5&lt;=$C40,AI$5+6&gt;=$C40),"◆","")</f>
        <v/>
      </c>
    </row>
    <row r="41" ht="19" customHeight="1">
      <c r="A41" s="22" t="inlineStr">
        <is>
          <t>6</t>
        </is>
      </c>
      <c r="B41" s="23" t="inlineStr">
        <is>
          <t>Lecture automatique des factures (OCR)</t>
        </is>
      </c>
      <c r="C41" s="24">
        <f>MIN(C42:C44)</f>
        <v/>
      </c>
      <c r="D41" s="24">
        <f>MAX(D42:D44)</f>
        <v/>
      </c>
      <c r="E41" s="22">
        <f>D41-C41+1</f>
        <v/>
      </c>
      <c r="F41" s="25">
        <f>MAX(0,MIN(1,($G$3-C41+1)/(D41-C41+1)))</f>
        <v/>
      </c>
      <c r="G41" s="22">
        <f>IF(D41&lt;=$G$3,"Terminé",IF(C41&gt;$G$3,"Prévu","En cours"))</f>
        <v/>
      </c>
      <c r="H41" s="22" t="inlineStr">
        <is>
          <t>Phase</t>
        </is>
      </c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  <c r="AA41" s="26" t="n"/>
      <c r="AB41" s="26" t="n"/>
      <c r="AC41" s="26" t="n"/>
      <c r="AD41" s="26" t="n"/>
      <c r="AE41" s="26" t="n"/>
      <c r="AF41" s="26" t="n"/>
      <c r="AG41" s="26" t="n"/>
      <c r="AH41" s="26" t="n"/>
      <c r="AI41" s="26" t="n"/>
    </row>
    <row r="42" ht="17" customHeight="1">
      <c r="A42" s="27" t="inlineStr">
        <is>
          <t>6.1</t>
        </is>
      </c>
      <c r="B42" s="28" t="inlineStr">
        <is>
          <t xml:space="preserve">   Service OCR et rapprochement avec l'ERP</t>
        </is>
      </c>
      <c r="C42" s="29" t="n">
        <v>46266</v>
      </c>
      <c r="D42" s="29" t="n">
        <v>46277</v>
      </c>
      <c r="E42" s="27">
        <f>D42-C42+1</f>
        <v/>
      </c>
      <c r="F42" s="30">
        <f>MAX(0,MIN(1,($G$3-C42+1)/(D42-C42+1)))</f>
        <v/>
      </c>
      <c r="G42" s="27">
        <f>IF(D42&lt;=$G$3,"Terminé",IF(C42&gt;$G$3,"Prévu","En cours"))</f>
        <v/>
      </c>
      <c r="H42" s="27" t="inlineStr">
        <is>
          <t>Tâche</t>
        </is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B42" s="31" t="n"/>
      <c r="AC42" s="31" t="n"/>
      <c r="AD42" s="31" t="n"/>
      <c r="AE42" s="31" t="n"/>
      <c r="AF42" s="31" t="n"/>
      <c r="AG42" s="31" t="n"/>
      <c r="AH42" s="31" t="n"/>
      <c r="AI42" s="31" t="n"/>
    </row>
    <row r="43" ht="17" customHeight="1">
      <c r="A43" s="27" t="inlineStr">
        <is>
          <t>6.2</t>
        </is>
      </c>
      <c r="B43" s="28" t="inlineStr">
        <is>
          <t xml:space="preserve">   Affinage de LayoutLMv3 et intégration hybride</t>
        </is>
      </c>
      <c r="C43" s="29" t="n">
        <v>46275</v>
      </c>
      <c r="D43" s="29" t="n">
        <v>46286</v>
      </c>
      <c r="E43" s="27">
        <f>D43-C43+1</f>
        <v/>
      </c>
      <c r="F43" s="30">
        <f>MAX(0,MIN(1,($G$3-C43+1)/(D43-C43+1)))</f>
        <v/>
      </c>
      <c r="G43" s="27">
        <f>IF(D43&lt;=$G$3,"Terminé",IF(C43&gt;$G$3,"Prévu","En cours"))</f>
        <v/>
      </c>
      <c r="H43" s="27" t="inlineStr">
        <is>
          <t>Tâche</t>
        </is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B43" s="31" t="n"/>
      <c r="AC43" s="31" t="n"/>
      <c r="AD43" s="31" t="n"/>
      <c r="AE43" s="31" t="n"/>
      <c r="AF43" s="31" t="n"/>
      <c r="AG43" s="31" t="n"/>
      <c r="AH43" s="31" t="n"/>
      <c r="AI43" s="31" t="n"/>
    </row>
    <row r="44" ht="17" customHeight="1">
      <c r="A44" s="32" t="inlineStr">
        <is>
          <t>J3</t>
        </is>
      </c>
      <c r="B44" s="33" t="inlineStr">
        <is>
          <t>LayoutLMv3 intégré à la chaîne OCR</t>
        </is>
      </c>
      <c r="C44" s="34" t="n">
        <v>46286</v>
      </c>
      <c r="D44" s="34" t="n">
        <v>46286</v>
      </c>
      <c r="E44" s="32">
        <f>D44-C44+1</f>
        <v/>
      </c>
      <c r="F44" s="35">
        <f>MAX(0,MIN(1,($G$3-C44+1)/(D44-C44+1)))</f>
        <v/>
      </c>
      <c r="G44" s="32">
        <f>IF(D44&lt;=$G$3,"Terminé",IF(C44&gt;$G$3,"Prévu","En cours"))</f>
        <v/>
      </c>
      <c r="H44" s="32" t="inlineStr">
        <is>
          <t>Jalon</t>
        </is>
      </c>
      <c r="I44" s="36">
        <f>IF(AND(I$5&lt;=$C44,I$5+6&gt;=$C44),"◆","")</f>
        <v/>
      </c>
      <c r="J44" s="36">
        <f>IF(AND(J$5&lt;=$C44,J$5+6&gt;=$C44),"◆","")</f>
        <v/>
      </c>
      <c r="K44" s="36">
        <f>IF(AND(K$5&lt;=$C44,K$5+6&gt;=$C44),"◆","")</f>
        <v/>
      </c>
      <c r="L44" s="36">
        <f>IF(AND(L$5&lt;=$C44,L$5+6&gt;=$C44),"◆","")</f>
        <v/>
      </c>
      <c r="M44" s="36">
        <f>IF(AND(M$5&lt;=$C44,M$5+6&gt;=$C44),"◆","")</f>
        <v/>
      </c>
      <c r="N44" s="36">
        <f>IF(AND(N$5&lt;=$C44,N$5+6&gt;=$C44),"◆","")</f>
        <v/>
      </c>
      <c r="O44" s="36">
        <f>IF(AND(O$5&lt;=$C44,O$5+6&gt;=$C44),"◆","")</f>
        <v/>
      </c>
      <c r="P44" s="36">
        <f>IF(AND(P$5&lt;=$C44,P$5+6&gt;=$C44),"◆","")</f>
        <v/>
      </c>
      <c r="Q44" s="36">
        <f>IF(AND(Q$5&lt;=$C44,Q$5+6&gt;=$C44),"◆","")</f>
        <v/>
      </c>
      <c r="R44" s="36">
        <f>IF(AND(R$5&lt;=$C44,R$5+6&gt;=$C44),"◆","")</f>
        <v/>
      </c>
      <c r="S44" s="36">
        <f>IF(AND(S$5&lt;=$C44,S$5+6&gt;=$C44),"◆","")</f>
        <v/>
      </c>
      <c r="T44" s="36">
        <f>IF(AND(T$5&lt;=$C44,T$5+6&gt;=$C44),"◆","")</f>
        <v/>
      </c>
      <c r="U44" s="36">
        <f>IF(AND(U$5&lt;=$C44,U$5+6&gt;=$C44),"◆","")</f>
        <v/>
      </c>
      <c r="V44" s="36">
        <f>IF(AND(V$5&lt;=$C44,V$5+6&gt;=$C44),"◆","")</f>
        <v/>
      </c>
      <c r="W44" s="36">
        <f>IF(AND(W$5&lt;=$C44,W$5+6&gt;=$C44),"◆","")</f>
        <v/>
      </c>
      <c r="X44" s="36">
        <f>IF(AND(X$5&lt;=$C44,X$5+6&gt;=$C44),"◆","")</f>
        <v/>
      </c>
      <c r="Y44" s="36">
        <f>IF(AND(Y$5&lt;=$C44,Y$5+6&gt;=$C44),"◆","")</f>
        <v/>
      </c>
      <c r="Z44" s="36">
        <f>IF(AND(Z$5&lt;=$C44,Z$5+6&gt;=$C44),"◆","")</f>
        <v/>
      </c>
      <c r="AA44" s="36">
        <f>IF(AND(AA$5&lt;=$C44,AA$5+6&gt;=$C44),"◆","")</f>
        <v/>
      </c>
      <c r="AB44" s="36">
        <f>IF(AND(AB$5&lt;=$C44,AB$5+6&gt;=$C44),"◆","")</f>
        <v/>
      </c>
      <c r="AC44" s="36">
        <f>IF(AND(AC$5&lt;=$C44,AC$5+6&gt;=$C44),"◆","")</f>
        <v/>
      </c>
      <c r="AD44" s="36">
        <f>IF(AND(AD$5&lt;=$C44,AD$5+6&gt;=$C44),"◆","")</f>
        <v/>
      </c>
      <c r="AE44" s="36">
        <f>IF(AND(AE$5&lt;=$C44,AE$5+6&gt;=$C44),"◆","")</f>
        <v/>
      </c>
      <c r="AF44" s="36">
        <f>IF(AND(AF$5&lt;=$C44,AF$5+6&gt;=$C44),"◆","")</f>
        <v/>
      </c>
      <c r="AG44" s="36">
        <f>IF(AND(AG$5&lt;=$C44,AG$5+6&gt;=$C44),"◆","")</f>
        <v/>
      </c>
      <c r="AH44" s="36">
        <f>IF(AND(AH$5&lt;=$C44,AH$5+6&gt;=$C44),"◆","")</f>
        <v/>
      </c>
      <c r="AI44" s="36">
        <f>IF(AND(AI$5&lt;=$C44,AI$5+6&gt;=$C44),"◆","")</f>
        <v/>
      </c>
    </row>
    <row r="45" ht="19" customHeight="1">
      <c r="A45" s="22" t="inlineStr">
        <is>
          <t>7</t>
        </is>
      </c>
      <c r="B45" s="23" t="inlineStr">
        <is>
          <t>Qualité, documentation et soutenance</t>
        </is>
      </c>
      <c r="C45" s="24">
        <f>MIN(C46:C50)</f>
        <v/>
      </c>
      <c r="D45" s="24">
        <f>MAX(D46:D50)</f>
        <v/>
      </c>
      <c r="E45" s="22">
        <f>D45-C45+1</f>
        <v/>
      </c>
      <c r="F45" s="25">
        <f>MAX(0,MIN(1,($G$3-C45+1)/(D45-C45+1)))</f>
        <v/>
      </c>
      <c r="G45" s="22">
        <f>IF(D45&lt;=$G$3,"Terminé",IF(C45&gt;$G$3,"Prévu","En cours"))</f>
        <v/>
      </c>
      <c r="H45" s="22" t="inlineStr">
        <is>
          <t>Phase</t>
        </is>
      </c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  <c r="AA45" s="26" t="n"/>
      <c r="AB45" s="26" t="n"/>
      <c r="AC45" s="26" t="n"/>
      <c r="AD45" s="26" t="n"/>
      <c r="AE45" s="26" t="n"/>
      <c r="AF45" s="26" t="n"/>
      <c r="AG45" s="26" t="n"/>
      <c r="AH45" s="26" t="n"/>
      <c r="AI45" s="26" t="n"/>
    </row>
    <row r="46" ht="17" customHeight="1">
      <c r="A46" s="27" t="inlineStr">
        <is>
          <t>7.1</t>
        </is>
      </c>
      <c r="B46" s="28" t="inlineStr">
        <is>
          <t xml:space="preserve">   Tests automatisés (666 tests)</t>
        </is>
      </c>
      <c r="C46" s="29" t="n">
        <v>46216</v>
      </c>
      <c r="D46" s="29" t="n">
        <v>46294</v>
      </c>
      <c r="E46" s="27">
        <f>D46-C46+1</f>
        <v/>
      </c>
      <c r="F46" s="30">
        <f>MAX(0,MIN(1,($G$3-C46+1)/(D46-C46+1)))</f>
        <v/>
      </c>
      <c r="G46" s="27">
        <f>IF(D46&lt;=$G$3,"Terminé",IF(C46&gt;$G$3,"Prévu","En cours"))</f>
        <v/>
      </c>
      <c r="H46" s="27" t="inlineStr">
        <is>
          <t>Tâche</t>
        </is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  <c r="AB46" s="31" t="n"/>
      <c r="AC46" s="31" t="n"/>
      <c r="AD46" s="31" t="n"/>
      <c r="AE46" s="31" t="n"/>
      <c r="AF46" s="31" t="n"/>
      <c r="AG46" s="31" t="n"/>
      <c r="AH46" s="31" t="n"/>
      <c r="AI46" s="31" t="n"/>
    </row>
    <row r="47" ht="17" customHeight="1">
      <c r="A47" s="27" t="inlineStr">
        <is>
          <t>7.2</t>
        </is>
      </c>
      <c r="B47" s="28" t="inlineStr">
        <is>
          <t xml:space="preserve">   Nettoyage du projet, refonte d'architecture et documentation</t>
        </is>
      </c>
      <c r="C47" s="29" t="n">
        <v>46278</v>
      </c>
      <c r="D47" s="29" t="n">
        <v>46293</v>
      </c>
      <c r="E47" s="27">
        <f>D47-C47+1</f>
        <v/>
      </c>
      <c r="F47" s="30">
        <f>MAX(0,MIN(1,($G$3-C47+1)/(D47-C47+1)))</f>
        <v/>
      </c>
      <c r="G47" s="27">
        <f>IF(D47&lt;=$G$3,"Terminé",IF(C47&gt;$G$3,"Prévu","En cours"))</f>
        <v/>
      </c>
      <c r="H47" s="27" t="inlineStr">
        <is>
          <t>Tâche</t>
        </is>
      </c>
      <c r="I47" s="31" t="n"/>
      <c r="J47" s="31" t="n"/>
      <c r="K47" s="31" t="n"/>
      <c r="L47" s="31" t="n"/>
      <c r="M47" s="31" t="n"/>
      <c r="N47" s="31" t="n"/>
      <c r="O47" s="31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1" t="n"/>
      <c r="Z47" s="31" t="n"/>
      <c r="AA47" s="31" t="n"/>
      <c r="AB47" s="31" t="n"/>
      <c r="AC47" s="31" t="n"/>
      <c r="AD47" s="31" t="n"/>
      <c r="AE47" s="31" t="n"/>
      <c r="AF47" s="31" t="n"/>
      <c r="AG47" s="31" t="n"/>
      <c r="AH47" s="31" t="n"/>
      <c r="AI47" s="31" t="n"/>
    </row>
    <row r="48" ht="17" customHeight="1">
      <c r="A48" s="27" t="inlineStr">
        <is>
          <t>7.3</t>
        </is>
      </c>
      <c r="B48" s="28" t="inlineStr">
        <is>
          <t xml:space="preserve">   Rédaction du rapport de PFE</t>
        </is>
      </c>
      <c r="C48" s="29" t="n">
        <v>46293</v>
      </c>
      <c r="D48" s="29" t="n">
        <v>46315</v>
      </c>
      <c r="E48" s="27">
        <f>D48-C48+1</f>
        <v/>
      </c>
      <c r="F48" s="30">
        <f>MAX(0,MIN(1,($G$3-C48+1)/(D48-C48+1)))</f>
        <v/>
      </c>
      <c r="G48" s="27">
        <f>IF(D48&lt;=$G$3,"Terminé",IF(C48&gt;$G$3,"Prévu","En cours"))</f>
        <v/>
      </c>
      <c r="H48" s="27" t="inlineStr">
        <is>
          <t>Tâche</t>
        </is>
      </c>
      <c r="I48" s="31" t="n"/>
      <c r="J48" s="31" t="n"/>
      <c r="K48" s="31" t="n"/>
      <c r="L48" s="31" t="n"/>
      <c r="M48" s="31" t="n"/>
      <c r="N48" s="31" t="n"/>
      <c r="O48" s="31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1" t="n"/>
      <c r="Z48" s="31" t="n"/>
      <c r="AA48" s="31" t="n"/>
      <c r="AB48" s="31" t="n"/>
      <c r="AC48" s="31" t="n"/>
      <c r="AD48" s="31" t="n"/>
      <c r="AE48" s="31" t="n"/>
      <c r="AF48" s="31" t="n"/>
      <c r="AG48" s="31" t="n"/>
      <c r="AH48" s="31" t="n"/>
      <c r="AI48" s="31" t="n"/>
    </row>
    <row r="49" ht="17" customHeight="1">
      <c r="A49" s="27" t="inlineStr">
        <is>
          <t>7.4</t>
        </is>
      </c>
      <c r="B49" s="28" t="inlineStr">
        <is>
          <t xml:space="preserve">   Préparation de la soutenance</t>
        </is>
      </c>
      <c r="C49" s="29" t="n">
        <v>46286</v>
      </c>
      <c r="D49" s="29" t="n">
        <v>46322</v>
      </c>
      <c r="E49" s="27">
        <f>D49-C49+1</f>
        <v/>
      </c>
      <c r="F49" s="30">
        <f>MAX(0,MIN(1,($G$3-C49+1)/(D49-C49+1)))</f>
        <v/>
      </c>
      <c r="G49" s="27">
        <f>IF(D49&lt;=$G$3,"Terminé",IF(C49&gt;$G$3,"Prévu","En cours"))</f>
        <v/>
      </c>
      <c r="H49" s="27" t="inlineStr">
        <is>
          <t>Tâche</t>
        </is>
      </c>
      <c r="I49" s="31" t="n"/>
      <c r="J49" s="31" t="n"/>
      <c r="K49" s="31" t="n"/>
      <c r="L49" s="31" t="n"/>
      <c r="M49" s="31" t="n"/>
      <c r="N49" s="31" t="n"/>
      <c r="O49" s="31" t="n"/>
      <c r="P49" s="31" t="n"/>
      <c r="Q49" s="31" t="n"/>
      <c r="R49" s="31" t="n"/>
      <c r="S49" s="31" t="n"/>
      <c r="T49" s="31" t="n"/>
      <c r="U49" s="31" t="n"/>
      <c r="V49" s="31" t="n"/>
      <c r="W49" s="31" t="n"/>
      <c r="X49" s="31" t="n"/>
      <c r="Y49" s="31" t="n"/>
      <c r="Z49" s="31" t="n"/>
      <c r="AA49" s="31" t="n"/>
      <c r="AB49" s="31" t="n"/>
      <c r="AC49" s="31" t="n"/>
      <c r="AD49" s="31" t="n"/>
      <c r="AE49" s="31" t="n"/>
      <c r="AF49" s="31" t="n"/>
      <c r="AG49" s="31" t="n"/>
      <c r="AH49" s="31" t="n"/>
      <c r="AI49" s="31" t="n"/>
    </row>
    <row r="50" ht="17" customHeight="1">
      <c r="A50" s="32" t="inlineStr">
        <is>
          <t>J4</t>
        </is>
      </c>
      <c r="B50" s="33" t="inlineStr">
        <is>
          <t>Fin du stage</t>
        </is>
      </c>
      <c r="C50" s="34" t="n">
        <v>46322</v>
      </c>
      <c r="D50" s="34" t="n">
        <v>46322</v>
      </c>
      <c r="E50" s="32">
        <f>D50-C50+1</f>
        <v/>
      </c>
      <c r="F50" s="35">
        <f>MAX(0,MIN(1,($G$3-C50+1)/(D50-C50+1)))</f>
        <v/>
      </c>
      <c r="G50" s="32">
        <f>IF(D50&lt;=$G$3,"Terminé",IF(C50&gt;$G$3,"Prévu","En cours"))</f>
        <v/>
      </c>
      <c r="H50" s="32" t="inlineStr">
        <is>
          <t>Jalon</t>
        </is>
      </c>
      <c r="I50" s="36">
        <f>IF(AND(I$5&lt;=$C50,I$5+6&gt;=$C50),"◆","")</f>
        <v/>
      </c>
      <c r="J50" s="36">
        <f>IF(AND(J$5&lt;=$C50,J$5+6&gt;=$C50),"◆","")</f>
        <v/>
      </c>
      <c r="K50" s="36">
        <f>IF(AND(K$5&lt;=$C50,K$5+6&gt;=$C50),"◆","")</f>
        <v/>
      </c>
      <c r="L50" s="36">
        <f>IF(AND(L$5&lt;=$C50,L$5+6&gt;=$C50),"◆","")</f>
        <v/>
      </c>
      <c r="M50" s="36">
        <f>IF(AND(M$5&lt;=$C50,M$5+6&gt;=$C50),"◆","")</f>
        <v/>
      </c>
      <c r="N50" s="36">
        <f>IF(AND(N$5&lt;=$C50,N$5+6&gt;=$C50),"◆","")</f>
        <v/>
      </c>
      <c r="O50" s="36">
        <f>IF(AND(O$5&lt;=$C50,O$5+6&gt;=$C50),"◆","")</f>
        <v/>
      </c>
      <c r="P50" s="36">
        <f>IF(AND(P$5&lt;=$C50,P$5+6&gt;=$C50),"◆","")</f>
        <v/>
      </c>
      <c r="Q50" s="36">
        <f>IF(AND(Q$5&lt;=$C50,Q$5+6&gt;=$C50),"◆","")</f>
        <v/>
      </c>
      <c r="R50" s="36">
        <f>IF(AND(R$5&lt;=$C50,R$5+6&gt;=$C50),"◆","")</f>
        <v/>
      </c>
      <c r="S50" s="36">
        <f>IF(AND(S$5&lt;=$C50,S$5+6&gt;=$C50),"◆","")</f>
        <v/>
      </c>
      <c r="T50" s="36">
        <f>IF(AND(T$5&lt;=$C50,T$5+6&gt;=$C50),"◆","")</f>
        <v/>
      </c>
      <c r="U50" s="36">
        <f>IF(AND(U$5&lt;=$C50,U$5+6&gt;=$C50),"◆","")</f>
        <v/>
      </c>
      <c r="V50" s="36">
        <f>IF(AND(V$5&lt;=$C50,V$5+6&gt;=$C50),"◆","")</f>
        <v/>
      </c>
      <c r="W50" s="36">
        <f>IF(AND(W$5&lt;=$C50,W$5+6&gt;=$C50),"◆","")</f>
        <v/>
      </c>
      <c r="X50" s="36">
        <f>IF(AND(X$5&lt;=$C50,X$5+6&gt;=$C50),"◆","")</f>
        <v/>
      </c>
      <c r="Y50" s="36">
        <f>IF(AND(Y$5&lt;=$C50,Y$5+6&gt;=$C50),"◆","")</f>
        <v/>
      </c>
      <c r="Z50" s="36">
        <f>IF(AND(Z$5&lt;=$C50,Z$5+6&gt;=$C50),"◆","")</f>
        <v/>
      </c>
      <c r="AA50" s="36">
        <f>IF(AND(AA$5&lt;=$C50,AA$5+6&gt;=$C50),"◆","")</f>
        <v/>
      </c>
      <c r="AB50" s="36">
        <f>IF(AND(AB$5&lt;=$C50,AB$5+6&gt;=$C50),"◆","")</f>
        <v/>
      </c>
      <c r="AC50" s="36">
        <f>IF(AND(AC$5&lt;=$C50,AC$5+6&gt;=$C50),"◆","")</f>
        <v/>
      </c>
      <c r="AD50" s="36">
        <f>IF(AND(AD$5&lt;=$C50,AD$5+6&gt;=$C50),"◆","")</f>
        <v/>
      </c>
      <c r="AE50" s="36">
        <f>IF(AND(AE$5&lt;=$C50,AE$5+6&gt;=$C50),"◆","")</f>
        <v/>
      </c>
      <c r="AF50" s="36">
        <f>IF(AND(AF$5&lt;=$C50,AF$5+6&gt;=$C50),"◆","")</f>
        <v/>
      </c>
      <c r="AG50" s="36">
        <f>IF(AND(AG$5&lt;=$C50,AG$5+6&gt;=$C50),"◆","")</f>
        <v/>
      </c>
      <c r="AH50" s="36">
        <f>IF(AND(AH$5&lt;=$C50,AH$5+6&gt;=$C50),"◆","")</f>
        <v/>
      </c>
      <c r="AI50" s="36">
        <f>IF(AND(AI$5&lt;=$C50,AI$5+6&gt;=$C50),"◆","")</f>
        <v/>
      </c>
    </row>
    <row r="52">
      <c r="B52" s="37" t="inlineStr">
        <is>
          <t>Synthèse au</t>
        </is>
      </c>
      <c r="C52" s="38">
        <f>$G$3</f>
        <v/>
      </c>
    </row>
    <row r="53">
      <c r="B53" s="39" t="inlineStr">
        <is>
          <t>Tâches terminées</t>
        </is>
      </c>
      <c r="C53" s="40">
        <f>COUNTIFS($H$6:$H$50,"Tâche",$G$6:$G$50,"Terminé")</f>
        <v/>
      </c>
    </row>
    <row r="54">
      <c r="B54" s="39" t="inlineStr">
        <is>
          <t>Tâches en cours</t>
        </is>
      </c>
      <c r="C54" s="40">
        <f>COUNTIFS($H$6:$H$50,"Tâche",$G$6:$G$50,"En cours")</f>
        <v/>
      </c>
    </row>
    <row r="55">
      <c r="B55" s="39" t="inlineStr">
        <is>
          <t>Tâches prévues</t>
        </is>
      </c>
      <c r="C55" s="40">
        <f>COUNTIFS($H$6:$H$50,"Tâche",$G$6:$G$50,"Prévu")</f>
        <v/>
      </c>
    </row>
    <row r="56">
      <c r="B56" s="39" t="inlineStr">
        <is>
          <t>Total des tâches</t>
        </is>
      </c>
      <c r="C56" s="40">
        <f>COUNTIF($H$6:$H$50,"Tâche")</f>
        <v/>
      </c>
    </row>
    <row r="57">
      <c r="B57" s="39" t="inlineStr">
        <is>
          <t>Avancement du stage (temps écoulé)</t>
        </is>
      </c>
      <c r="C57" s="41">
        <f>MAX(0,MIN(1,($G$3-$G$1)/($G$2-$G$1)))</f>
        <v/>
      </c>
    </row>
    <row r="59" ht="30" customHeight="1">
      <c r="B59" s="42" t="inlineStr">
        <is>
          <t>Le statut et l'avancement se calculent à partir de la date de mise à jour (cellule G3). Les barres suivent les dates Début / Fin.</t>
        </is>
      </c>
    </row>
  </sheetData>
  <mergeCells count="12">
    <mergeCell ref="L1:N1"/>
    <mergeCell ref="N4:R4"/>
    <mergeCell ref="P1:R1"/>
    <mergeCell ref="T1:V1"/>
    <mergeCell ref="S4:V4"/>
    <mergeCell ref="J4:M4"/>
    <mergeCell ref="AB4:AE4"/>
    <mergeCell ref="AF4:AI4"/>
    <mergeCell ref="B59:U59"/>
    <mergeCell ref="X1:Z1"/>
    <mergeCell ref="W4:AA4"/>
    <mergeCell ref="AB1:AD1"/>
  </mergeCells>
  <conditionalFormatting sqref="I6:AI50">
    <cfRule type="expression" priority="1" dxfId="0" stopIfTrue="1">
      <formula>AND(I$5&lt;=$D6,I$5+6&gt;=$C6,$H6="Phase")</formula>
    </cfRule>
    <cfRule type="expression" priority="2" dxfId="1" stopIfTrue="1">
      <formula>AND(I$5&lt;=$D6,I$5+6&gt;=$C6,$H6="Tâche",$G6="Terminé")</formula>
    </cfRule>
    <cfRule type="expression" priority="3" dxfId="2" stopIfTrue="1">
      <formula>AND(I$5&lt;=$D6,I$5+6&gt;=$C6,$H6="Tâche",$G6="En cours")</formula>
    </cfRule>
    <cfRule type="expression" priority="4" dxfId="3" stopIfTrue="1">
      <formula>AND(I$5&lt;=$D6,I$5+6&gt;=$C6,$H6="Tâche",$G6="Prévu")</formula>
    </cfRule>
  </conditionalFormatting>
  <conditionalFormatting sqref="I5:AI50">
    <cfRule type="expression" priority="5" dxfId="4">
      <formula>AND(I$5&lt;=$G$3,I$5+6&gt;=$G$3)</formula>
    </cfRule>
  </conditionalFormatting>
  <conditionalFormatting sqref="G6:G50">
    <cfRule type="expression" priority="6" dxfId="5">
      <formula>AND($G6="Terminé",$H6&lt;&gt;"Phase")</formula>
    </cfRule>
    <cfRule type="expression" priority="7" dxfId="6">
      <formula>AND($G6="En cours",$H6&lt;&gt;"Phase")</formula>
    </cfRule>
    <cfRule type="expression" priority="8" dxfId="7">
      <formula>AND($G6="Prévu",$H6&lt;&gt;"Phase")</formula>
    </cfRule>
  </conditionalFormatting>
  <dataValidations count="1">
    <dataValidation sqref="C6:D50" showDropDown="0" showInputMessage="0" showErrorMessage="1" allowBlank="0" errorTitle="Date invalide" error="Saisissez une date au format jj/mm/aaaa." type="date" operator="between">
      <formula1>DATE(2026,1,1)</formula1>
      <formula2>DATE(2027,12,31)</formula2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1" customWidth="1" min="4" max="4"/>
    <col width="10" customWidth="1" min="5" max="5"/>
    <col width="70" customWidth="1" min="6" max="6"/>
    <col width="40" customWidth="1" min="7" max="7"/>
  </cols>
  <sheetData>
    <row r="1">
      <c r="A1" s="43" t="inlineStr">
        <is>
          <t>Détail des tâches réalisées et prévues</t>
        </is>
      </c>
    </row>
    <row r="3">
      <c r="A3" s="44" t="inlineStr">
        <is>
          <t>N°</t>
        </is>
      </c>
      <c r="B3" s="44" t="inlineStr">
        <is>
          <t>Tâche</t>
        </is>
      </c>
      <c r="C3" s="44" t="inlineStr">
        <is>
          <t>Début</t>
        </is>
      </c>
      <c r="D3" s="44" t="inlineStr">
        <is>
          <t>Fin</t>
        </is>
      </c>
      <c r="E3" s="44" t="inlineStr">
        <is>
          <t>Statut</t>
        </is>
      </c>
      <c r="F3" s="44" t="inlineStr">
        <is>
          <t>Description</t>
        </is>
      </c>
      <c r="G3" s="44" t="inlineStr">
        <is>
          <t>Livrables / preuves</t>
        </is>
      </c>
    </row>
    <row r="4">
      <c r="A4" s="45" t="inlineStr">
        <is>
          <t>1</t>
        </is>
      </c>
      <c r="B4" s="45" t="inlineStr">
        <is>
          <t>Cadrage, étude du métier et spécifications</t>
        </is>
      </c>
      <c r="C4" s="45" t="n"/>
      <c r="D4" s="45" t="n"/>
      <c r="E4" s="45" t="n"/>
      <c r="F4" s="45" t="n"/>
      <c r="G4" s="45" t="n"/>
    </row>
    <row r="5">
      <c r="A5" s="46" t="inlineStr">
        <is>
          <t>1.1</t>
        </is>
      </c>
      <c r="B5" s="47" t="inlineStr">
        <is>
          <t>Immersion dans l'entreprise et étude de l'ERP</t>
        </is>
      </c>
      <c r="C5" s="48">
        <f>Gantt!C7</f>
        <v/>
      </c>
      <c r="D5" s="48">
        <f>Gantt!D7</f>
        <v/>
      </c>
      <c r="E5" s="49">
        <f>Gantt!G7</f>
        <v/>
      </c>
      <c r="F5" s="47" t="inlineStr">
        <is>
          <t>Découverte de l'activité (distribution de réactifs de laboratoire), des processus ventes, achats et stocks, et des exports de l'ERP.</t>
        </is>
      </c>
      <c r="G5" s="47" t="inlineStr">
        <is>
          <t>Notes de cadrage</t>
        </is>
      </c>
    </row>
    <row r="6">
      <c r="A6" s="46" t="inlineStr">
        <is>
          <t>1.2</t>
        </is>
      </c>
      <c r="B6" s="47" t="inlineStr">
        <is>
          <t>État de l'art : Decision Intelligence, multi-agents, XAI</t>
        </is>
      </c>
      <c r="C6" s="48">
        <f>Gantt!C8</f>
        <v/>
      </c>
      <c r="D6" s="48">
        <f>Gantt!D8</f>
        <v/>
      </c>
      <c r="E6" s="49">
        <f>Gantt!G8</f>
        <v/>
      </c>
      <c r="F6" s="47" t="inlineStr">
        <is>
          <t>Étude des plateformes d'aide à la décision, des architectures multi-agents (LangGraph, LangChain), de l'IA explicable (SHAP) et du RAG.</t>
        </is>
      </c>
      <c r="G6" s="47" t="inlineStr">
        <is>
          <t>Synthèse bibliographique</t>
        </is>
      </c>
    </row>
    <row r="7">
      <c r="A7" s="46" t="inlineStr">
        <is>
          <t>1.3</t>
        </is>
      </c>
      <c r="B7" s="47" t="inlineStr">
        <is>
          <t>Cahier des charges, PRD et étude de marché</t>
        </is>
      </c>
      <c r="C7" s="48">
        <f>Gantt!C9</f>
        <v/>
      </c>
      <c r="D7" s="48">
        <f>Gantt!D9</f>
        <v/>
      </c>
      <c r="E7" s="49">
        <f>Gantt!G9</f>
        <v/>
      </c>
      <c r="F7" s="47" t="inlineStr">
        <is>
          <t>Rédaction du besoin, du PRD, du product brief et de l'étude de marché (méthode BMAD). Premier dépôt git le 03/06.</t>
        </is>
      </c>
      <c r="G7" s="47" t="inlineStr">
        <is>
          <t>PRD, product brief (_bmad-output)</t>
        </is>
      </c>
    </row>
    <row r="8">
      <c r="A8" s="46" t="inlineStr">
        <is>
          <t>1.4</t>
        </is>
      </c>
      <c r="B8" s="47" t="inlineStr">
        <is>
          <t>Dictionnaire des données de l'ERP</t>
        </is>
      </c>
      <c r="C8" s="48">
        <f>Gantt!C10</f>
        <v/>
      </c>
      <c r="D8" s="48">
        <f>Gantt!D10</f>
        <v/>
      </c>
      <c r="E8" s="49">
        <f>Gantt!G10</f>
        <v/>
      </c>
      <c r="F8" s="47" t="inlineStr">
        <is>
          <t>Description de chaque table et colonne exportée : sens métier, type, qualité, colonnes vides (dates de paiement absentes).</t>
        </is>
      </c>
      <c r="G8" s="47" t="inlineStr">
        <is>
          <t>data_pfe_data_dictionary.xlsx (02/06)</t>
        </is>
      </c>
    </row>
    <row r="9">
      <c r="A9" s="46" t="inlineStr">
        <is>
          <t>J1</t>
        </is>
      </c>
      <c r="B9" s="50" t="inlineStr">
        <is>
          <t>Premier dépôt du projet (git)</t>
        </is>
      </c>
      <c r="C9" s="48">
        <f>Gantt!C11</f>
        <v/>
      </c>
      <c r="D9" s="48">
        <f>Gantt!D11</f>
        <v/>
      </c>
      <c r="E9" s="49">
        <f>Gantt!G11</f>
        <v/>
      </c>
      <c r="F9" s="47" t="inlineStr">
        <is>
          <t>Initialisation du dépôt.</t>
        </is>
      </c>
      <c r="G9" s="47" t="inlineStr">
        <is>
          <t>Commit initial</t>
        </is>
      </c>
    </row>
    <row r="10">
      <c r="A10" s="45" t="inlineStr">
        <is>
          <t>2</t>
        </is>
      </c>
      <c r="B10" s="45" t="inlineStr">
        <is>
          <t>Données et Data Warehouse</t>
        </is>
      </c>
      <c r="C10" s="45" t="n"/>
      <c r="D10" s="45" t="n"/>
      <c r="E10" s="45" t="n"/>
      <c r="F10" s="45" t="n"/>
      <c r="G10" s="45" t="n"/>
    </row>
    <row r="11">
      <c r="A11" s="46" t="inlineStr">
        <is>
          <t>2.1</t>
        </is>
      </c>
      <c r="B11" s="47" t="inlineStr">
        <is>
          <t>Intégration et préparation des données</t>
        </is>
      </c>
      <c r="C11" s="48">
        <f>Gantt!C13</f>
        <v/>
      </c>
      <c r="D11" s="48">
        <f>Gantt!D13</f>
        <v/>
      </c>
      <c r="E11" s="49">
        <f>Gantt!G13</f>
        <v/>
      </c>
      <c r="F11" s="47" t="inlineStr">
        <is>
          <t>Import des CSV de l'ERP, nettoyage, typage, contrôle d'intégrité du chiffre d'affaires, des avoirs et des doublons.</t>
        </is>
      </c>
      <c r="G11" s="47" t="inlineStr">
        <is>
          <t>run_data_preparation.py, ml_engine/preprocessing</t>
        </is>
      </c>
    </row>
    <row r="12">
      <c r="A12" s="46" t="inlineStr">
        <is>
          <t>2.2</t>
        </is>
      </c>
      <c r="B12" s="47" t="inlineStr">
        <is>
          <t>Conception du Data Warehouse financier</t>
        </is>
      </c>
      <c r="C12" s="48">
        <f>Gantt!C14</f>
        <v/>
      </c>
      <c r="D12" s="48">
        <f>Gantt!D14</f>
        <v/>
      </c>
      <c r="E12" s="49">
        <f>Gantt!G14</f>
        <v/>
      </c>
      <c r="F12" s="47" t="inlineStr">
        <is>
          <t>Modèle en étoile (faits et dimensions) dans DuckDB : ventes, achats, stocks, devis, clients.</t>
        </is>
      </c>
      <c r="G12" s="47" t="inlineStr">
        <is>
          <t>Schéma dw_beautiful.png, draw_dw.py (07/06)</t>
        </is>
      </c>
    </row>
    <row r="13">
      <c r="A13" s="46" t="inlineStr">
        <is>
          <t>2.3</t>
        </is>
      </c>
      <c r="B13" s="47" t="inlineStr">
        <is>
          <t>Indicateurs clés (KPI) et formules</t>
        </is>
      </c>
      <c r="C13" s="48">
        <f>Gantt!C15</f>
        <v/>
      </c>
      <c r="D13" s="48">
        <f>Gantt!D15</f>
        <v/>
      </c>
      <c r="E13" s="49">
        <f>Gantt!G15</f>
        <v/>
      </c>
      <c r="F13" s="47" t="inlineStr">
        <is>
          <t>Définition et calcul des KPI (chiffre d'affaires, marge, DSO, encours, rotation des stocks), fidèles au code.</t>
        </is>
      </c>
      <c r="G13" s="47" t="inlineStr">
        <is>
          <t>docs/KPI_FORMULES.md</t>
        </is>
      </c>
    </row>
    <row r="14">
      <c r="A14" s="45" t="inlineStr">
        <is>
          <t>3</t>
        </is>
      </c>
      <c r="B14" s="45" t="inlineStr">
        <is>
          <t>Machine learning et science des données</t>
        </is>
      </c>
      <c r="C14" s="45" t="n"/>
      <c r="D14" s="45" t="n"/>
      <c r="E14" s="45" t="n"/>
      <c r="F14" s="45" t="n"/>
      <c r="G14" s="45" t="n"/>
    </row>
    <row r="15">
      <c r="A15" s="46" t="inlineStr">
        <is>
          <t>3.1</t>
        </is>
      </c>
      <c r="B15" s="47" t="inlineStr">
        <is>
          <t>Premiers modèles et pipeline de modélisation</t>
        </is>
      </c>
      <c r="C15" s="48">
        <f>Gantt!C17</f>
        <v/>
      </c>
      <c r="D15" s="48">
        <f>Gantt!D17</f>
        <v/>
      </c>
      <c r="E15" s="49">
        <f>Gantt!G17</f>
        <v/>
      </c>
      <c r="F15" s="47" t="inlineStr">
        <is>
          <t>Pipeline de préparation et de modélisation par phases, premiers modèles de base.</t>
        </is>
      </c>
      <c r="G15" s="47" t="inlineStr">
        <is>
          <t>ml_modeling.py (07/06), ml_engine/phases (12/06)</t>
        </is>
      </c>
    </row>
    <row r="16">
      <c r="A16" s="46" t="inlineStr">
        <is>
          <t>3.2</t>
        </is>
      </c>
      <c r="B16" s="47" t="inlineStr">
        <is>
          <t>Modèles prédictifs clients et ventes</t>
        </is>
      </c>
      <c r="C16" s="48">
        <f>Gantt!C18</f>
        <v/>
      </c>
      <c r="D16" s="48">
        <f>Gantt!D18</f>
        <v/>
      </c>
      <c r="E16" s="49">
        <f>Gantt!G18</f>
        <v/>
      </c>
      <c r="F16" s="47" t="inlineStr">
        <is>
          <t>Décrochage client, segmentation, conversion des devis, érosion de marge, conditions de crédit.</t>
        </is>
      </c>
      <c r="G16" s="47" t="inlineStr">
        <is>
          <t>ml_engine/analytics, ml_engine/models</t>
        </is>
      </c>
    </row>
    <row r="17">
      <c r="A17" s="46" t="inlineStr">
        <is>
          <t>3.3</t>
        </is>
      </c>
      <c r="B17" s="47" t="inlineStr">
        <is>
          <t>Prévision de la demande et de l'approvisionnement</t>
        </is>
      </c>
      <c r="C17" s="48">
        <f>Gantt!C19</f>
        <v/>
      </c>
      <c r="D17" s="48">
        <f>Gantt!D19</f>
        <v/>
      </c>
      <c r="E17" s="49">
        <f>Gantt!G19</f>
        <v/>
      </c>
      <c r="F17" s="47" t="inlineStr">
        <is>
          <t>Prévision mensuelle de la demande et analyse de l'approvisionnement.</t>
        </is>
      </c>
      <c r="G17" s="47" t="inlineStr">
        <is>
          <t>ml_engine/forecasting (commit du 29/07)</t>
        </is>
      </c>
    </row>
    <row r="18">
      <c r="A18" s="46" t="inlineStr">
        <is>
          <t>3.4</t>
        </is>
      </c>
      <c r="B18" s="47" t="inlineStr">
        <is>
          <t>Refonte data science : évaluation hors période (CRISP-DM)</t>
        </is>
      </c>
      <c r="C18" s="48">
        <f>Gantt!C20</f>
        <v/>
      </c>
      <c r="D18" s="48">
        <f>Gantt!D20</f>
        <v/>
      </c>
      <c r="E18" s="49">
        <f>Gantt!G20</f>
        <v/>
      </c>
      <c r="F18" s="47" t="inlineStr">
        <is>
          <t>Réévaluation de tous les modèles sur des mois postérieurs à l'entraînement, comparaison à une règle simple, accuracy et balanced accuracy.</t>
        </is>
      </c>
      <c r="G18" s="47" t="inlineStr">
        <is>
          <t>reports/METRICS_REPORT.md</t>
        </is>
      </c>
    </row>
    <row r="19">
      <c r="A19" s="46" t="inlineStr">
        <is>
          <t>3.5</t>
        </is>
      </c>
      <c r="B19" s="47" t="inlineStr">
        <is>
          <t>Registre des modèles et passerelle agents ↔ modèles</t>
        </is>
      </c>
      <c r="C19" s="48">
        <f>Gantt!C21</f>
        <v/>
      </c>
      <c r="D19" s="48">
        <f>Gantt!D21</f>
        <v/>
      </c>
      <c r="E19" s="49">
        <f>Gantt!G21</f>
        <v/>
      </c>
      <c r="F19" s="47" t="inlineStr">
        <is>
          <t>Registre qui décide si un modèle est servi, refusé ou retiré ; passerelle unique entre les agents et les modèles.</t>
        </is>
      </c>
      <c r="G19" s="47" t="inlineStr">
        <is>
          <t>ml_engine/registre.py, ml_engine/passerelle.py</t>
        </is>
      </c>
    </row>
    <row r="20">
      <c r="A20" s="46" t="inlineStr">
        <is>
          <t>3.6</t>
        </is>
      </c>
      <c r="B20" s="47" t="inlineStr">
        <is>
          <t>Deep learning : recommandation Wide &amp; Deep (PyTorch)</t>
        </is>
      </c>
      <c r="C20" s="48">
        <f>Gantt!C22</f>
        <v/>
      </c>
      <c r="D20" s="48">
        <f>Gantt!D22</f>
        <v/>
      </c>
      <c r="E20" s="49">
        <f>Gantt!G22</f>
        <v/>
      </c>
      <c r="F20" s="47" t="inlineStr">
        <is>
          <t>Réseau Wide &amp; Deep comparé à LightGBM sur la recommandation de produits (NDCG@10).</t>
        </is>
      </c>
      <c r="G20" s="47" t="inlineStr">
        <is>
          <t>ml_engine/deep, docs/DEEP_LEARNING.md</t>
        </is>
      </c>
    </row>
    <row r="21">
      <c r="A21" s="46" t="inlineStr">
        <is>
          <t>3.7</t>
        </is>
      </c>
      <c r="B21" s="47" t="inlineStr">
        <is>
          <t>Demande par référence (CRISP-DM, 31 méthodes) et diagnostic</t>
        </is>
      </c>
      <c r="C21" s="48">
        <f>Gantt!C23</f>
        <v/>
      </c>
      <c r="D21" s="48">
        <f>Gantt!D23</f>
        <v/>
      </c>
      <c r="E21" s="49">
        <f>Gantt!G23</f>
        <v/>
      </c>
      <c r="F21" s="47" t="inlineStr">
        <is>
          <t>Prévision par référence de réactif : règles, Croston/TSB, ETS, LightGBM, XGBoost, CatBoost, N-HiTS, DeepAR ; médiane 12 mois retenue ; diagnostic de l'écart validation/test.</t>
        </is>
      </c>
      <c r="G21" s="47" t="inlineStr">
        <is>
          <t>docs/CRISP_DM_DEMANDE_REFERENCE.md, evaluation_demande</t>
        </is>
      </c>
    </row>
    <row r="22">
      <c r="A22" s="45" t="inlineStr">
        <is>
          <t>4</t>
        </is>
      </c>
      <c r="B22" s="45" t="inlineStr">
        <is>
          <t>Agents IA et explicabilité</t>
        </is>
      </c>
      <c r="C22" s="45" t="n"/>
      <c r="D22" s="45" t="n"/>
      <c r="E22" s="45" t="n"/>
      <c r="F22" s="45" t="n"/>
      <c r="G22" s="45" t="n"/>
    </row>
    <row r="23">
      <c r="A23" s="46" t="inlineStr">
        <is>
          <t>4.1</t>
        </is>
      </c>
      <c r="B23" s="47" t="inlineStr">
        <is>
          <t>Premier graphe d'agents LangGraph</t>
        </is>
      </c>
      <c r="C23" s="48">
        <f>Gantt!C25</f>
        <v/>
      </c>
      <c r="D23" s="48">
        <f>Gantt!D25</f>
        <v/>
      </c>
      <c r="E23" s="49">
        <f>Gantt!G25</f>
        <v/>
      </c>
      <c r="F23" s="47" t="inlineStr">
        <is>
          <t>Superviseur, routeur, agent SQL et agent de rapport sur l'entrepôt.</t>
        </is>
      </c>
      <c r="G23" s="47" t="inlineStr">
        <is>
          <t>graphs/, agents/ (commit du 12/06)</t>
        </is>
      </c>
    </row>
    <row r="24">
      <c r="A24" s="46" t="inlineStr">
        <is>
          <t>4.2</t>
        </is>
      </c>
      <c r="B24" s="47" t="inlineStr">
        <is>
          <t>Flotte multi-agents d'aide à la décision</t>
        </is>
      </c>
      <c r="C24" s="48">
        <f>Gantt!C26</f>
        <v/>
      </c>
      <c r="D24" s="48">
        <f>Gantt!D26</f>
        <v/>
      </c>
      <c r="E24" s="49">
        <f>Gantt!G26</f>
        <v/>
      </c>
      <c r="F24" s="47" t="inlineStr">
        <is>
          <t>Agents spécialisés en parallèle, arbitre qui classe les priorités, rédacteur du briefing de direction.</t>
        </is>
      </c>
      <c r="G24" s="47" t="inlineStr">
        <is>
          <t>agents/fleet (commit du 29/07)</t>
        </is>
      </c>
    </row>
    <row r="25">
      <c r="A25" s="46" t="inlineStr">
        <is>
          <t>4.3</t>
        </is>
      </c>
      <c r="B25" s="47" t="inlineStr">
        <is>
          <t>Copilote FinBot et pipeline RAG</t>
        </is>
      </c>
      <c r="C25" s="48">
        <f>Gantt!C27</f>
        <v/>
      </c>
      <c r="D25" s="48">
        <f>Gantt!D27</f>
        <v/>
      </c>
      <c r="E25" s="49">
        <f>Gantt!G27</f>
        <v/>
      </c>
      <c r="F25" s="47" t="inlineStr">
        <is>
          <t>Assistant conversationnel sur les indicateurs réels et une base documentaire indexée (embeddings, FAISS, LangChain).</t>
        </is>
      </c>
      <c r="G25" s="47" t="inlineStr">
        <is>
          <t>rag/, Copilot.tsx</t>
        </is>
      </c>
    </row>
    <row r="26">
      <c r="A26" s="46" t="inlineStr">
        <is>
          <t>4.4</t>
        </is>
      </c>
      <c r="B26" s="47" t="inlineStr">
        <is>
          <t>Veille des appels d'offres (prototype)</t>
        </is>
      </c>
      <c r="C26" s="48">
        <f>Gantt!C28</f>
        <v/>
      </c>
      <c r="D26" s="48">
        <f>Gantt!D28</f>
        <v/>
      </c>
      <c r="E26" s="49">
        <f>Gantt!G28</f>
        <v/>
      </c>
      <c r="F26" s="47" t="inlineStr">
        <is>
          <t>Collecte automatisée d'appels d'offres publics pour l'agent commercial.</t>
        </is>
      </c>
      <c r="G26" s="47" t="inlineStr">
        <is>
          <t>Commit du 29/07</t>
        </is>
      </c>
    </row>
    <row r="27">
      <c r="A27" s="46" t="inlineStr">
        <is>
          <t>4.5</t>
        </is>
      </c>
      <c r="B27" s="47" t="inlineStr">
        <is>
          <t>Module d'IA explicable (XAI)</t>
        </is>
      </c>
      <c r="C27" s="48">
        <f>Gantt!C29</f>
        <v/>
      </c>
      <c r="D27" s="48">
        <f>Gantt!D29</f>
        <v/>
      </c>
      <c r="E27" s="49">
        <f>Gantt!G29</f>
        <v/>
      </c>
      <c r="F27" s="47" t="inlineStr">
        <is>
          <t>Bouton « Pourquoi ? » : décomposition exacte des contributions et valeurs SHAP pour chaque client, devis et produit.</t>
        </is>
      </c>
      <c r="G27" s="47" t="inlineStr">
        <is>
          <t>docs/XAI.md, Pourquoi.tsx</t>
        </is>
      </c>
    </row>
    <row r="28">
      <c r="A28" s="46" t="inlineStr">
        <is>
          <t>4.6</t>
        </is>
      </c>
      <c r="B28" s="47" t="inlineStr">
        <is>
          <t>Restructuration de la flotte : 5 agents et volet fiabilité</t>
        </is>
      </c>
      <c r="C28" s="48">
        <f>Gantt!C30</f>
        <v/>
      </c>
      <c r="D28" s="48">
        <f>Gantt!D30</f>
        <v/>
      </c>
      <c r="E28" s="49">
        <f>Gantt!G30</f>
        <v/>
      </c>
      <c r="F28" s="47" t="inlineStr">
        <is>
          <t>Fusion en cinq agents (Commercial, Risque client, Recouvrement, Trésorerie, Stock &amp; Approvisionnement) et surveillance de la fiabilité des modèles.</t>
        </is>
      </c>
      <c r="G28" s="47" t="inlineStr">
        <is>
          <t>docs/ARCHITECTURE_AGENTS.md</t>
        </is>
      </c>
    </row>
    <row r="29">
      <c r="A29" s="45" t="inlineStr">
        <is>
          <t>5</t>
        </is>
      </c>
      <c r="B29" s="45" t="inlineStr">
        <is>
          <t>Plateforme web et sécurité</t>
        </is>
      </c>
      <c r="C29" s="45" t="n"/>
      <c r="D29" s="45" t="n"/>
      <c r="E29" s="45" t="n"/>
      <c r="F29" s="45" t="n"/>
      <c r="G29" s="45" t="n"/>
    </row>
    <row r="30">
      <c r="A30" s="46" t="inlineStr">
        <is>
          <t>5.1</t>
        </is>
      </c>
      <c r="B30" s="47" t="inlineStr">
        <is>
          <t>Tableau de bord décisionnel (Next.js / React)</t>
        </is>
      </c>
      <c r="C30" s="48">
        <f>Gantt!C32</f>
        <v/>
      </c>
      <c r="D30" s="48">
        <f>Gantt!D32</f>
        <v/>
      </c>
      <c r="E30" s="49">
        <f>Gantt!G32</f>
        <v/>
      </c>
      <c r="F30" s="47" t="inlineStr">
        <is>
          <t>Interface : KPI, panneaux risque client, commercial, stock et prévisions, briefing des agents.</t>
        </is>
      </c>
      <c r="G30" s="47" t="inlineStr">
        <is>
          <t>frontend/ (commit du 29/07)</t>
        </is>
      </c>
    </row>
    <row r="31">
      <c r="A31" s="46" t="inlineStr">
        <is>
          <t>5.2</t>
        </is>
      </c>
      <c r="B31" s="47" t="inlineStr">
        <is>
          <t>API FastAPI, authentification, rôles et isolation</t>
        </is>
      </c>
      <c r="C31" s="48">
        <f>Gantt!C33</f>
        <v/>
      </c>
      <c r="D31" s="48">
        <f>Gantt!D33</f>
        <v/>
      </c>
      <c r="E31" s="49">
        <f>Gantt!G33</f>
        <v/>
      </c>
      <c r="F31" s="47" t="inlineStr">
        <is>
          <t>Comptes direction, employé et client ; bcrypt, JWT, limitation des tentatives ; isolation des données de chaque client côté serveur.</t>
        </is>
      </c>
      <c r="G31" s="47" t="inlineStr">
        <is>
          <t>api/auth, docs/SECURITY.md</t>
        </is>
      </c>
    </row>
    <row r="32">
      <c r="A32" s="46" t="inlineStr">
        <is>
          <t>5.3</t>
        </is>
      </c>
      <c r="B32" s="47" t="inlineStr">
        <is>
          <t>Avatar 3D de l'assistant (Three.js)</t>
        </is>
      </c>
      <c r="C32" s="48">
        <f>Gantt!C34</f>
        <v/>
      </c>
      <c r="D32" s="48">
        <f>Gantt!D34</f>
        <v/>
      </c>
      <c r="E32" s="49">
        <f>Gantt!G34</f>
        <v/>
      </c>
      <c r="F32" s="47" t="inlineStr">
        <is>
          <t>Avatar animé (visèmes, émotions) avec solutions de repli.</t>
        </is>
      </c>
      <c r="G32" s="47" t="inlineStr">
        <is>
          <t>FinBotAvatar3D.tsx, docs/AVATAR_3D.md</t>
        </is>
      </c>
    </row>
    <row r="33">
      <c r="A33" s="46" t="inlineStr">
        <is>
          <t>5.4</t>
        </is>
      </c>
      <c r="B33" s="47" t="inlineStr">
        <is>
          <t>Simulation de scénarios d'encaissement (et si… ?)</t>
        </is>
      </c>
      <c r="C33" s="48">
        <f>Gantt!C35</f>
        <v/>
      </c>
      <c r="D33" s="48">
        <f>Gantt!D35</f>
        <v/>
      </c>
      <c r="E33" s="49">
        <f>Gantt!G35</f>
        <v/>
      </c>
      <c r="F33" s="47" t="inlineStr">
        <is>
          <t>Effet de retards de paiement par secteur sur l'encaissement et la trésorerie, hypothèses visibles et modifiables.</t>
        </is>
      </c>
      <c r="G33" s="47" t="inlineStr">
        <is>
          <t>ml_engine/analytics/payment_scenario.py</t>
        </is>
      </c>
    </row>
    <row r="34">
      <c r="A34" s="46" t="inlineStr">
        <is>
          <t>5.5</t>
        </is>
      </c>
      <c r="B34" s="47" t="inlineStr">
        <is>
          <t>Boucle d'action : tâches, actions clients, mesure d'impact</t>
        </is>
      </c>
      <c r="C34" s="48">
        <f>Gantt!C36</f>
        <v/>
      </c>
      <c r="D34" s="48">
        <f>Gantt!D36</f>
        <v/>
      </c>
      <c r="E34" s="49">
        <f>Gantt!G36</f>
        <v/>
      </c>
      <c r="F34" s="47" t="inlineStr">
        <is>
          <t>Une alerte devient une tâche confiée ou une action du client ; le résultat est mesuré et renvoyé vers les modèles.</t>
        </is>
      </c>
      <c r="G34" s="47" t="inlineStr">
        <is>
          <t>docs/BOUCLE_ACTION.md, TachesPanel.tsx</t>
        </is>
      </c>
    </row>
    <row r="35">
      <c r="A35" s="46" t="inlineStr">
        <is>
          <t>5.6</t>
        </is>
      </c>
      <c r="B35" s="47" t="inlineStr">
        <is>
          <t>Portail d'administration et espace client</t>
        </is>
      </c>
      <c r="C35" s="48">
        <f>Gantt!C37</f>
        <v/>
      </c>
      <c r="D35" s="48">
        <f>Gantt!D37</f>
        <v/>
      </c>
      <c r="E35" s="49">
        <f>Gantt!G37</f>
        <v/>
      </c>
      <c r="F35" s="47" t="inlineStr">
        <is>
          <t>Gestion des comptes, attribution des tâches, espace dédié à chaque client.</t>
        </is>
      </c>
      <c r="G35" s="47" t="inlineStr">
        <is>
          <t>AdminPanel.tsx, ClientSpace.tsx</t>
        </is>
      </c>
    </row>
    <row r="36">
      <c r="A36" s="46" t="inlineStr">
        <is>
          <t>5.7</t>
        </is>
      </c>
      <c r="B36" s="47" t="inlineStr">
        <is>
          <t>Conteneurisation Docker, PostgreSQL et intégration continue</t>
        </is>
      </c>
      <c r="C36" s="48">
        <f>Gantt!C38</f>
        <v/>
      </c>
      <c r="D36" s="48">
        <f>Gantt!D38</f>
        <v/>
      </c>
      <c r="E36" s="49">
        <f>Gantt!G38</f>
        <v/>
      </c>
      <c r="F36" s="47" t="inlineStr">
        <is>
          <t>Stack PostgreSQL + API + frontend en conteneurs ; CI GitHub Actions (tests, typecheck, build).</t>
        </is>
      </c>
      <c r="G36" s="47" t="inlineStr">
        <is>
          <t>docker-compose.yml, .github/workflows/ci.yml</t>
        </is>
      </c>
    </row>
    <row r="37">
      <c r="A37" s="46" t="inlineStr">
        <is>
          <t>5.8</t>
        </is>
      </c>
      <c r="B37" s="47" t="inlineStr">
        <is>
          <t>Délégation autonome de la flotte d'agents</t>
        </is>
      </c>
      <c r="C37" s="48">
        <f>Gantt!C39</f>
        <v/>
      </c>
      <c r="D37" s="48">
        <f>Gantt!D39</f>
        <v/>
      </c>
      <c r="E37" s="49">
        <f>Gantt!G39</f>
        <v/>
      </c>
      <c r="F37" s="47" t="inlineStr">
        <is>
          <t>La flotte confie elle-même le travail d'exécution (relances, rappels, commandes) à l'employé du bon métier le moins chargé ; les décisions qui engagent l'entreprise restent au directeur. Anti-doublon avec les tâches confiées à la main, carence de 14 jours, un passage planifié par jour, activation par le directeur.</t>
        </is>
      </c>
      <c r="G37" s="47" t="inlineStr">
        <is>
          <t>agents/fleet/delegation.py, api/services/delegation.py, DelegationPanel.tsx</t>
        </is>
      </c>
    </row>
    <row r="38">
      <c r="A38" s="46" t="inlineStr">
        <is>
          <t>J2</t>
        </is>
      </c>
      <c r="B38" s="50" t="inlineStr">
        <is>
          <t>Plateforme intégrée (agents, RAG, tableau de bord)</t>
        </is>
      </c>
      <c r="C38" s="48">
        <f>Gantt!C40</f>
        <v/>
      </c>
      <c r="D38" s="48">
        <f>Gantt!D40</f>
        <v/>
      </c>
      <c r="E38" s="49">
        <f>Gantt!G40</f>
        <v/>
      </c>
      <c r="F38" s="47" t="inlineStr">
        <is>
          <t>Commit regroupant copilote, flotte d'agents, RAG et tableau de bord.</t>
        </is>
      </c>
      <c r="G38" s="47" t="inlineStr">
        <is>
          <t>Commit du 29/07</t>
        </is>
      </c>
    </row>
    <row r="39">
      <c r="A39" s="45" t="inlineStr">
        <is>
          <t>6</t>
        </is>
      </c>
      <c r="B39" s="45" t="inlineStr">
        <is>
          <t>Lecture automatique des factures (OCR)</t>
        </is>
      </c>
      <c r="C39" s="45" t="n"/>
      <c r="D39" s="45" t="n"/>
      <c r="E39" s="45" t="n"/>
      <c r="F39" s="45" t="n"/>
      <c r="G39" s="45" t="n"/>
    </row>
    <row r="40">
      <c r="A40" s="46" t="inlineStr">
        <is>
          <t>6.1</t>
        </is>
      </c>
      <c r="B40" s="47" t="inlineStr">
        <is>
          <t>Service OCR et rapprochement avec l'ERP</t>
        </is>
      </c>
      <c r="C40" s="48">
        <f>Gantt!C42</f>
        <v/>
      </c>
      <c r="D40" s="48">
        <f>Gantt!D42</f>
        <v/>
      </c>
      <c r="E40" s="49">
        <f>Gantt!G42</f>
        <v/>
      </c>
      <c r="F40" s="47" t="inlineStr">
        <is>
          <t>Extraction des factures, facture structurée, enregistrement et rapprochement avec les écritures de l'ERP.</t>
        </is>
      </c>
      <c r="G40" s="47" t="inlineStr">
        <is>
          <t>ml_engine/ocr, docs/OCR.md</t>
        </is>
      </c>
    </row>
    <row r="41">
      <c r="A41" s="46" t="inlineStr">
        <is>
          <t>6.2</t>
        </is>
      </c>
      <c r="B41" s="47" t="inlineStr">
        <is>
          <t>Affinage de LayoutLMv3 et intégration hybride</t>
        </is>
      </c>
      <c r="C41" s="48">
        <f>Gantt!C43</f>
        <v/>
      </c>
      <c r="D41" s="48">
        <f>Gantt!D43</f>
        <v/>
      </c>
      <c r="E41" s="49">
        <f>Gantt!G43</f>
        <v/>
      </c>
      <c r="F41" s="47" t="inlineStr">
        <is>
          <t>Annotation, entraînement sur Colab, fusion modèle + règles : 79,9 % d'exactitude par champ contre 24,4 % pour les règles.</t>
        </is>
      </c>
      <c r="G41" s="47" t="inlineStr">
        <is>
          <t>models/layoutlmv3_factures, docs/LAYOUTLMV3.md</t>
        </is>
      </c>
    </row>
    <row r="42">
      <c r="A42" s="46" t="inlineStr">
        <is>
          <t>J3</t>
        </is>
      </c>
      <c r="B42" s="50" t="inlineStr">
        <is>
          <t>LayoutLMv3 intégré à la chaîne OCR</t>
        </is>
      </c>
      <c r="C42" s="48">
        <f>Gantt!C44</f>
        <v/>
      </c>
      <c r="D42" s="48">
        <f>Gantt!D44</f>
        <v/>
      </c>
      <c r="E42" s="49">
        <f>Gantt!G44</f>
        <v/>
      </c>
      <c r="F42" s="47" t="inlineStr">
        <is>
          <t>Derniers commits LayoutLMv3.</t>
        </is>
      </c>
      <c r="G42" s="47" t="inlineStr">
        <is>
          <t>Commits des 20-21/09</t>
        </is>
      </c>
    </row>
    <row r="43">
      <c r="A43" s="45" t="inlineStr">
        <is>
          <t>7</t>
        </is>
      </c>
      <c r="B43" s="45" t="inlineStr">
        <is>
          <t>Qualité, documentation et soutenance</t>
        </is>
      </c>
      <c r="C43" s="45" t="n"/>
      <c r="D43" s="45" t="n"/>
      <c r="E43" s="45" t="n"/>
      <c r="F43" s="45" t="n"/>
      <c r="G43" s="45" t="n"/>
    </row>
    <row r="44">
      <c r="A44" s="46" t="inlineStr">
        <is>
          <t>7.1</t>
        </is>
      </c>
      <c r="B44" s="47" t="inlineStr">
        <is>
          <t>Tests automatisés (666 tests)</t>
        </is>
      </c>
      <c r="C44" s="48">
        <f>Gantt!C46</f>
        <v/>
      </c>
      <c r="D44" s="48">
        <f>Gantt!D46</f>
        <v/>
      </c>
      <c r="E44" s="49">
        <f>Gantt!G46</f>
        <v/>
      </c>
      <c r="F44" s="47" t="inlineStr">
        <is>
          <t>Intégrité des données, modèles, agents, sécurité, OCR, délégation autonome ; 22 tests « vitrine » à citer.</t>
        </is>
      </c>
      <c r="G44" s="47" t="inlineStr">
        <is>
          <t>tests/, docs/TESTS.md</t>
        </is>
      </c>
    </row>
    <row r="45">
      <c r="A45" s="46" t="inlineStr">
        <is>
          <t>7.2</t>
        </is>
      </c>
      <c r="B45" s="47" t="inlineStr">
        <is>
          <t>Nettoyage du projet, refonte d'architecture et documentation</t>
        </is>
      </c>
      <c r="C45" s="48">
        <f>Gantt!C47</f>
        <v/>
      </c>
      <c r="D45" s="48">
        <f>Gantt!D47</f>
        <v/>
      </c>
      <c r="E45" s="49">
        <f>Gantt!G47</f>
        <v/>
      </c>
      <c r="F45" s="47" t="inlineStr">
        <is>
          <t>Suppression des fichiers obsolètes ; API en couches, entrepôt Kimball reconstruit par un ETL, copilote en graphe LangGraph (comportement vérifié identique avant/après) ; méthodologie, README, documentation de chaque module et des scripts.</t>
        </is>
      </c>
      <c r="G45" s="47" t="inlineStr">
        <is>
          <t>etl/, api/services/, agents/copilote/, docs/METHODOLOGIE.md, README.md</t>
        </is>
      </c>
    </row>
    <row r="46">
      <c r="A46" s="46" t="inlineStr">
        <is>
          <t>7.3</t>
        </is>
      </c>
      <c r="B46" s="47" t="inlineStr">
        <is>
          <t>Rédaction du rapport de PFE</t>
        </is>
      </c>
      <c r="C46" s="48">
        <f>Gantt!C48</f>
        <v/>
      </c>
      <c r="D46" s="48">
        <f>Gantt!D48</f>
        <v/>
      </c>
      <c r="E46" s="49">
        <f>Gantt!G48</f>
        <v/>
      </c>
      <c r="F46" s="47" t="inlineStr">
        <is>
          <t>Rédaction et relecture du rapport final.</t>
        </is>
      </c>
      <c r="G46" s="47" t="inlineStr">
        <is>
          <t>Rapport de PFE</t>
        </is>
      </c>
    </row>
    <row r="47">
      <c r="A47" s="46" t="inlineStr">
        <is>
          <t>7.4</t>
        </is>
      </c>
      <c r="B47" s="47" t="inlineStr">
        <is>
          <t>Préparation de la soutenance</t>
        </is>
      </c>
      <c r="C47" s="48">
        <f>Gantt!C49</f>
        <v/>
      </c>
      <c r="D47" s="48">
        <f>Gantt!D49</f>
        <v/>
      </c>
      <c r="E47" s="49">
        <f>Gantt!G49</f>
        <v/>
      </c>
      <c r="F47" s="47" t="inlineStr">
        <is>
          <t>Scénario de démonstration minuté, plans B, questions-réponses du jury, présentation.</t>
        </is>
      </c>
      <c r="G47" s="47" t="inlineStr">
        <is>
          <t>docs/DEMO.md, docs/NOTE_SOUTENANCE.md, support de présentation</t>
        </is>
      </c>
    </row>
    <row r="48">
      <c r="A48" s="46" t="inlineStr">
        <is>
          <t>J4</t>
        </is>
      </c>
      <c r="B48" s="50" t="inlineStr">
        <is>
          <t>Fin du stage</t>
        </is>
      </c>
      <c r="C48" s="48">
        <f>Gantt!C50</f>
        <v/>
      </c>
      <c r="D48" s="48">
        <f>Gantt!D50</f>
        <v/>
      </c>
      <c r="E48" s="49">
        <f>Gantt!G50</f>
        <v/>
      </c>
      <c r="F48" s="47" t="inlineStr">
        <is>
          <t>Fin de la période de stage.</t>
        </is>
      </c>
      <c r="G48" s="47" t="inlineStr">
        <is>
          <t>—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2026-09-29T13:35:53Z</dcterms:created>
  <dcterms:modified xmlns:dcterms="http://purl.org/dc/terms/" xmlns:xsi="http://www.w3.org/2001/XMLSchema-instance" xsi:type="dcterms:W3CDTF">2026-09-29T13:35:53Z</dcterms:modified>
</cp:coreProperties>
</file>