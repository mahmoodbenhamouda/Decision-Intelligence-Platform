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Détail des tâches" sheetId="2" state="visible" r:id="rId4"/>
  </sheets>
  <definedNames>
    <definedName function="false" hidden="false" localSheetId="0" name="_xlnm.Print_Area" vbProcedure="false">Gantt!$A$1:$AI$59</definedName>
    <definedName function="false" hidden="false" localSheetId="0" name="_xlnm.Print_Titles" vbProcedure="false">Gantt!$4:$5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3" authorId="0">
      <text>
        <r>
          <rPr>
            <sz val="10"/>
            <rFont val="Arial"/>
            <family val="2"/>
          </rPr>
          <t xml:space="preserve">À modifier : le statut et l'avancement de chaque tâche se recalculent à partir de cette date.</t>
        </r>
      </text>
    </comment>
  </commentList>
</comments>
</file>

<file path=xl/sharedStrings.xml><?xml version="1.0" encoding="utf-8"?>
<sst xmlns="http://schemas.openxmlformats.org/spreadsheetml/2006/main" count="337" uniqueCount="233">
  <si>
    <t xml:space="preserve">Diagramme de Gantt du PFE — Overlyne</t>
  </si>
  <si>
    <t xml:space="preserve">Début du stage</t>
  </si>
  <si>
    <t xml:space="preserve">Légende</t>
  </si>
  <si>
    <t xml:space="preserve">Terminé</t>
  </si>
  <si>
    <t xml:space="preserve">En cours</t>
  </si>
  <si>
    <t xml:space="preserve">Prévu</t>
  </si>
  <si>
    <t xml:space="preserve">Phase</t>
  </si>
  <si>
    <t xml:space="preserve">◆ Jalon</t>
  </si>
  <si>
    <t xml:space="preserve">Système d'Intelligence Décisionnelle pour ERP</t>
  </si>
  <si>
    <t xml:space="preserve">Fin du stage</t>
  </si>
  <si>
    <t xml:space="preserve">Dates en bleu : modifiables. Trait rouge : semaine de la date de mise à jour (G3).</t>
  </si>
  <si>
    <t xml:space="preserve">Stage de fin d'études · Mahmoud Ben Hammouda · 27/04/2026 – 27/10/2026</t>
  </si>
  <si>
    <t xml:space="preserve">Date de mise à jour</t>
  </si>
  <si>
    <t xml:space="preserve">avr. 26</t>
  </si>
  <si>
    <t xml:space="preserve">mai 26</t>
  </si>
  <si>
    <t xml:space="preserve">juin 26</t>
  </si>
  <si>
    <t xml:space="preserve">juil. 26</t>
  </si>
  <si>
    <t xml:space="preserve">août 26</t>
  </si>
  <si>
    <t xml:space="preserve">sept. 26</t>
  </si>
  <si>
    <t xml:space="preserve">oct. 26</t>
  </si>
  <si>
    <t xml:space="preserve">N°</t>
  </si>
  <si>
    <t xml:space="preserve">Phase / tâche</t>
  </si>
  <si>
    <t xml:space="preserve">Début</t>
  </si>
  <si>
    <t xml:space="preserve">Fin</t>
  </si>
  <si>
    <t xml:space="preserve">Durée (j)</t>
  </si>
  <si>
    <t xml:space="preserve">Avancement</t>
  </si>
  <si>
    <t xml:space="preserve">Statut</t>
  </si>
  <si>
    <t xml:space="preserve">Type</t>
  </si>
  <si>
    <t xml:space="preserve">1</t>
  </si>
  <si>
    <t xml:space="preserve">Cadrage, étude du métier et spécifications</t>
  </si>
  <si>
    <t xml:space="preserve">1.1</t>
  </si>
  <si>
    <t xml:space="preserve">   Immersion dans l'entreprise et étude de l'ERP</t>
  </si>
  <si>
    <t xml:space="preserve">Tâche</t>
  </si>
  <si>
    <t xml:space="preserve">1.2</t>
  </si>
  <si>
    <t xml:space="preserve">   État de l'art : Decision Intelligence, multi-agents, XAI</t>
  </si>
  <si>
    <t xml:space="preserve">1.3</t>
  </si>
  <si>
    <t xml:space="preserve">   Cahier des charges, PRD et étude de marché</t>
  </si>
  <si>
    <t xml:space="preserve">1.4</t>
  </si>
  <si>
    <t xml:space="preserve">   Dictionnaire des données de l'ERP</t>
  </si>
  <si>
    <t xml:space="preserve">J1</t>
  </si>
  <si>
    <t xml:space="preserve">Premier dépôt du projet (git)</t>
  </si>
  <si>
    <t xml:space="preserve">Jalon</t>
  </si>
  <si>
    <t xml:space="preserve">2</t>
  </si>
  <si>
    <t xml:space="preserve">Données et Data Warehouse</t>
  </si>
  <si>
    <t xml:space="preserve">2.1</t>
  </si>
  <si>
    <t xml:space="preserve">   Intégration et préparation des données</t>
  </si>
  <si>
    <t xml:space="preserve">2.2</t>
  </si>
  <si>
    <t xml:space="preserve">   Conception du Data Warehouse financier</t>
  </si>
  <si>
    <t xml:space="preserve">2.3</t>
  </si>
  <si>
    <t xml:space="preserve">   Indicateurs clés (KPI) et formules</t>
  </si>
  <si>
    <t xml:space="preserve">3</t>
  </si>
  <si>
    <t xml:space="preserve">Machine learning et science des données</t>
  </si>
  <si>
    <t xml:space="preserve">3.1</t>
  </si>
  <si>
    <t xml:space="preserve">   Premiers modèles et pipeline de modélisation</t>
  </si>
  <si>
    <t xml:space="preserve">3.2</t>
  </si>
  <si>
    <t xml:space="preserve">   Modèles prédictifs clients et ventes</t>
  </si>
  <si>
    <t xml:space="preserve">3.3</t>
  </si>
  <si>
    <t xml:space="preserve">   Prévision de la demande et de l'approvisionnement</t>
  </si>
  <si>
    <t xml:space="preserve">3.4</t>
  </si>
  <si>
    <t xml:space="preserve">   Refonte data science : évaluation hors période (CRISP-DM)</t>
  </si>
  <si>
    <t xml:space="preserve">3.5</t>
  </si>
  <si>
    <t xml:space="preserve">   Registre des modèles et passerelle agents ↔ modèles</t>
  </si>
  <si>
    <t xml:space="preserve">3.6</t>
  </si>
  <si>
    <t xml:space="preserve">   Deep learning : recommandation Wide &amp; Deep (PyTorch)</t>
  </si>
  <si>
    <t xml:space="preserve">3.7</t>
  </si>
  <si>
    <t xml:space="preserve">   Demande par référence (CRISP-DM, 31 méthodes) et diagnostic</t>
  </si>
  <si>
    <t xml:space="preserve">4</t>
  </si>
  <si>
    <t xml:space="preserve">Agents IA et explicabilité</t>
  </si>
  <si>
    <t xml:space="preserve">4.1</t>
  </si>
  <si>
    <t xml:space="preserve">   Premier graphe d'agents LangGraph</t>
  </si>
  <si>
    <t xml:space="preserve">4.2</t>
  </si>
  <si>
    <t xml:space="preserve">   Flotte multi-agents d'aide à la décision</t>
  </si>
  <si>
    <t xml:space="preserve">4.3</t>
  </si>
  <si>
    <t xml:space="preserve">   Copilote FinBot et pipeline RAG</t>
  </si>
  <si>
    <t xml:space="preserve">4.4</t>
  </si>
  <si>
    <t xml:space="preserve">   Veille des appels d'offres (prototype)</t>
  </si>
  <si>
    <t xml:space="preserve">4.5</t>
  </si>
  <si>
    <t xml:space="preserve">   Module d'IA explicable (XAI)</t>
  </si>
  <si>
    <t xml:space="preserve">4.6</t>
  </si>
  <si>
    <t xml:space="preserve">   Restructuration de la flotte : 5 agents et volet fiabilité</t>
  </si>
  <si>
    <t xml:space="preserve">5</t>
  </si>
  <si>
    <t xml:space="preserve">Plateforme web et sécurité</t>
  </si>
  <si>
    <t xml:space="preserve">5.1</t>
  </si>
  <si>
    <t xml:space="preserve">   Tableau de bord décisionnel (Next.js / React)</t>
  </si>
  <si>
    <t xml:space="preserve">5.2</t>
  </si>
  <si>
    <t xml:space="preserve">   API FastAPI, authentification, rôles et isolation</t>
  </si>
  <si>
    <t xml:space="preserve">5.3</t>
  </si>
  <si>
    <t xml:space="preserve">   Avatar 3D de l'assistant (Three.js)</t>
  </si>
  <si>
    <t xml:space="preserve">5.4</t>
  </si>
  <si>
    <t xml:space="preserve">   Simulation de scénarios d'encaissement (et si… ?)</t>
  </si>
  <si>
    <t xml:space="preserve">5.5</t>
  </si>
  <si>
    <t xml:space="preserve">   Boucle d'action : tâches, actions clients, mesure d'impact</t>
  </si>
  <si>
    <t xml:space="preserve">5.6</t>
  </si>
  <si>
    <t xml:space="preserve">   Portail d'administration et espace client</t>
  </si>
  <si>
    <t xml:space="preserve">5.7</t>
  </si>
  <si>
    <t xml:space="preserve">   Conteneurisation Docker, PostgreSQL et intégration continue</t>
  </si>
  <si>
    <t xml:space="preserve">J2</t>
  </si>
  <si>
    <t xml:space="preserve">Plateforme intégrée (agents, RAG, tableau de bord)</t>
  </si>
  <si>
    <t xml:space="preserve">6</t>
  </si>
  <si>
    <t xml:space="preserve">Lecture automatique des factures (OCR)</t>
  </si>
  <si>
    <t xml:space="preserve">6.1</t>
  </si>
  <si>
    <t xml:space="preserve">   Service OCR et rapprochement avec l'ERP</t>
  </si>
  <si>
    <t xml:space="preserve">6.2</t>
  </si>
  <si>
    <t xml:space="preserve">   Affinage de LayoutLMv3 et intégration hybride</t>
  </si>
  <si>
    <t xml:space="preserve">J3</t>
  </si>
  <si>
    <t xml:space="preserve">LayoutLMv3 intégré à la chaîne OCR</t>
  </si>
  <si>
    <t xml:space="preserve">7</t>
  </si>
  <si>
    <t xml:space="preserve">Qualité, documentation et soutenance</t>
  </si>
  <si>
    <t xml:space="preserve">7.1</t>
  </si>
  <si>
    <t xml:space="preserve">   Tests automatisés (642 tests)</t>
  </si>
  <si>
    <t xml:space="preserve">7.2</t>
  </si>
  <si>
    <t xml:space="preserve">   Nettoyage du projet, refonte d'architecture et documentation</t>
  </si>
  <si>
    <t xml:space="preserve">7.3</t>
  </si>
  <si>
    <t xml:space="preserve">   Rédaction du rapport de PFE</t>
  </si>
  <si>
    <t xml:space="preserve">7.4</t>
  </si>
  <si>
    <t xml:space="preserve">   Préparation de la soutenance</t>
  </si>
  <si>
    <t xml:space="preserve">J4</t>
  </si>
  <si>
    <t xml:space="preserve">Synthèse au</t>
  </si>
  <si>
    <t xml:space="preserve">Tâches terminées</t>
  </si>
  <si>
    <t xml:space="preserve">Tâches en cours</t>
  </si>
  <si>
    <t xml:space="preserve">Tâches prévues</t>
  </si>
  <si>
    <t xml:space="preserve">Total des tâches</t>
  </si>
  <si>
    <t xml:space="preserve">Avancement du stage (temps écoulé)</t>
  </si>
  <si>
    <t xml:space="preserve">Le statut et l'avancement se calculent à partir de la date de mise à jour (cellule G3). Les barres suivent les dates Début / Fin.</t>
  </si>
  <si>
    <t xml:space="preserve">Détail des tâches réalisées et prévues</t>
  </si>
  <si>
    <t xml:space="preserve">Description</t>
  </si>
  <si>
    <t xml:space="preserve">Livrables / preuves</t>
  </si>
  <si>
    <t xml:space="preserve">Immersion dans l'entreprise et étude de l'ERP</t>
  </si>
  <si>
    <t xml:space="preserve">Découverte de l'activité (distribution de réactifs de laboratoire), des processus ventes, achats et stocks, et des exports de l'ERP.</t>
  </si>
  <si>
    <t xml:space="preserve">Notes de cadrage</t>
  </si>
  <si>
    <t xml:space="preserve">État de l'art : Decision Intelligence, multi-agents, XAI</t>
  </si>
  <si>
    <t xml:space="preserve">Étude des plateformes d'aide à la décision, des architectures multi-agents (LangGraph, LangChain), de l'IA explicable (SHAP) et du RAG.</t>
  </si>
  <si>
    <t xml:space="preserve">Synthèse bibliographique</t>
  </si>
  <si>
    <t xml:space="preserve">Cahier des charges, PRD et étude de marché</t>
  </si>
  <si>
    <t xml:space="preserve">Rédaction du besoin, du PRD, du product brief et de l'étude de marché (méthode BMAD). Premier dépôt git le 03/06.</t>
  </si>
  <si>
    <t xml:space="preserve">PRD, product brief (_bmad-output)</t>
  </si>
  <si>
    <t xml:space="preserve">Dictionnaire des données de l'ERP</t>
  </si>
  <si>
    <t xml:space="preserve">Description de chaque table et colonne exportée : sens métier, type, qualité, colonnes vides (dates de paiement absentes).</t>
  </si>
  <si>
    <t xml:space="preserve">data_pfe_data_dictionary.xlsx (02/06)</t>
  </si>
  <si>
    <t xml:space="preserve">Initialisation du dépôt.</t>
  </si>
  <si>
    <t xml:space="preserve">Commit initial</t>
  </si>
  <si>
    <t xml:space="preserve">Intégration et préparation des données</t>
  </si>
  <si>
    <t xml:space="preserve">Import des CSV de l'ERP, nettoyage, typage, contrôle d'intégrité du chiffre d'affaires, des avoirs et des doublons.</t>
  </si>
  <si>
    <t xml:space="preserve">run_data_preparation.py, ml_engine/preprocessing</t>
  </si>
  <si>
    <t xml:space="preserve">Conception du Data Warehouse financier</t>
  </si>
  <si>
    <t xml:space="preserve">Modèle en étoile (faits et dimensions) dans DuckDB : ventes, achats, stocks, devis, clients.</t>
  </si>
  <si>
    <t xml:space="preserve">Schéma dw_beautiful.png, draw_dw.py (07/06)</t>
  </si>
  <si>
    <t xml:space="preserve">Indicateurs clés (KPI) et formules</t>
  </si>
  <si>
    <t xml:space="preserve">Définition et calcul des KPI (chiffre d'affaires, marge, DSO, encours, rotation des stocks), fidèles au code.</t>
  </si>
  <si>
    <t xml:space="preserve">docs/KPI_FORMULES.md</t>
  </si>
  <si>
    <t xml:space="preserve">Premiers modèles et pipeline de modélisation</t>
  </si>
  <si>
    <t xml:space="preserve">Pipeline de préparation et de modélisation par phases, premiers modèles de base.</t>
  </si>
  <si>
    <t xml:space="preserve">ml_modeling.py (07/06), ml_engine/phases (12/06)</t>
  </si>
  <si>
    <t xml:space="preserve">Modèles prédictifs clients et ventes</t>
  </si>
  <si>
    <t xml:space="preserve">Décrochage client, segmentation, conversion des devis, érosion de marge, conditions de crédit.</t>
  </si>
  <si>
    <t xml:space="preserve">ml_engine/analytics, ml_engine/models</t>
  </si>
  <si>
    <t xml:space="preserve">Prévision de la demande et de l'approvisionnement</t>
  </si>
  <si>
    <t xml:space="preserve">Prévision mensuelle de la demande et analyse de l'approvisionnement.</t>
  </si>
  <si>
    <t xml:space="preserve">ml_engine/forecasting (commit du 29/07)</t>
  </si>
  <si>
    <t xml:space="preserve">Refonte data science : évaluation hors période (CRISP-DM)</t>
  </si>
  <si>
    <t xml:space="preserve">Réévaluation de tous les modèles sur des mois postérieurs à l'entraînement, comparaison à une règle simple, accuracy et balanced accuracy.</t>
  </si>
  <si>
    <t xml:space="preserve">reports/METRICS_REPORT.md</t>
  </si>
  <si>
    <t xml:space="preserve">Registre des modèles et passerelle agents ↔ modèles</t>
  </si>
  <si>
    <t xml:space="preserve">Registre qui décide si un modèle est servi, refusé ou retiré ; passerelle unique entre les agents et les modèles.</t>
  </si>
  <si>
    <t xml:space="preserve">ml_engine/registre.py, ml_engine/passerelle.py</t>
  </si>
  <si>
    <t xml:space="preserve">Deep learning : recommandation Wide &amp; Deep (PyTorch)</t>
  </si>
  <si>
    <t xml:space="preserve">Réseau Wide &amp; Deep comparé à LightGBM sur la recommandation de produits (NDCG@10).</t>
  </si>
  <si>
    <t xml:space="preserve">ml_engine/deep, docs/DEEP_LEARNING.md</t>
  </si>
  <si>
    <t xml:space="preserve">Demande par référence (CRISP-DM, 31 méthodes) et diagnostic</t>
  </si>
  <si>
    <t xml:space="preserve">Prévision par référence de réactif : règles, Croston/TSB, ETS, LightGBM, XGBoost, CatBoost, N-HiTS, DeepAR ; médiane 12 mois retenue ; diagnostic de l'écart validation/test.</t>
  </si>
  <si>
    <t xml:space="preserve">docs/CRISP_DM_DEMANDE_REFERENCE.md, evaluation_demande</t>
  </si>
  <si>
    <t xml:space="preserve">Premier graphe d'agents LangGraph</t>
  </si>
  <si>
    <t xml:space="preserve">Superviseur, routeur, agent SQL et agent de rapport sur l'entrepôt.</t>
  </si>
  <si>
    <t xml:space="preserve">graphs/, agents/ (commit du 12/06)</t>
  </si>
  <si>
    <t xml:space="preserve">Flotte multi-agents d'aide à la décision</t>
  </si>
  <si>
    <t xml:space="preserve">Agents spécialisés en parallèle, arbitre qui classe les priorités, rédacteur du briefing de direction.</t>
  </si>
  <si>
    <t xml:space="preserve">agents/fleet (commit du 29/07)</t>
  </si>
  <si>
    <t xml:space="preserve">Copilote FinBot et pipeline RAG</t>
  </si>
  <si>
    <t xml:space="preserve">Assistant conversationnel sur les indicateurs réels et une base documentaire indexée (embeddings, FAISS, LangChain).</t>
  </si>
  <si>
    <t xml:space="preserve">rag/, Copilot.tsx</t>
  </si>
  <si>
    <t xml:space="preserve">Veille des appels d'offres (prototype)</t>
  </si>
  <si>
    <t xml:space="preserve">Collecte automatisée d'appels d'offres publics pour l'agent commercial.</t>
  </si>
  <si>
    <t xml:space="preserve">Commit du 29/07</t>
  </si>
  <si>
    <t xml:space="preserve">Module d'IA explicable (XAI)</t>
  </si>
  <si>
    <t xml:space="preserve">Bouton « Pourquoi ? » : décomposition exacte des contributions et valeurs SHAP pour chaque client, devis et produit.</t>
  </si>
  <si>
    <t xml:space="preserve">docs/XAI.md, Pourquoi.tsx</t>
  </si>
  <si>
    <t xml:space="preserve">Restructuration de la flotte : 5 agents et volet fiabilité</t>
  </si>
  <si>
    <t xml:space="preserve">Fusion en cinq agents (Commercial, Risque client, Recouvrement, Trésorerie, Stock &amp; Approvisionnement) et surveillance de la fiabilité des modèles.</t>
  </si>
  <si>
    <t xml:space="preserve">docs/ARCHITECTURE_AGENTS.md</t>
  </si>
  <si>
    <t xml:space="preserve">Tableau de bord décisionnel (Next.js / React)</t>
  </si>
  <si>
    <t xml:space="preserve">Interface : KPI, panneaux risque client, commercial, stock et prévisions, briefing des agents.</t>
  </si>
  <si>
    <t xml:space="preserve">frontend/ (commit du 29/07)</t>
  </si>
  <si>
    <t xml:space="preserve">API FastAPI, authentification, rôles et isolation</t>
  </si>
  <si>
    <t xml:space="preserve">Comptes direction, employé et client ; bcrypt, JWT, limitation des tentatives ; isolation des données de chaque client côté serveur.</t>
  </si>
  <si>
    <t xml:space="preserve">api/auth, docs/SECURITY.md</t>
  </si>
  <si>
    <t xml:space="preserve">Avatar 3D de l'assistant (Three.js)</t>
  </si>
  <si>
    <t xml:space="preserve">Avatar animé (visèmes, émotions) avec solutions de repli.</t>
  </si>
  <si>
    <t xml:space="preserve">FinBotAvatar3D.tsx, docs/AVATAR_3D.md</t>
  </si>
  <si>
    <t xml:space="preserve">Simulation de scénarios d'encaissement (et si… ?)</t>
  </si>
  <si>
    <t xml:space="preserve">Effet de retards de paiement par secteur sur l'encaissement et la trésorerie, hypothèses visibles et modifiables.</t>
  </si>
  <si>
    <t xml:space="preserve">ml_engine/analytics/payment_scenario.py</t>
  </si>
  <si>
    <t xml:space="preserve">Boucle d'action : tâches, actions clients, mesure d'impact</t>
  </si>
  <si>
    <t xml:space="preserve">Une alerte devient une tâche confiée ou une action du client ; le résultat est mesuré et renvoyé vers les modèles.</t>
  </si>
  <si>
    <t xml:space="preserve">docs/BOUCLE_ACTION.md, TachesPanel.tsx</t>
  </si>
  <si>
    <t xml:space="preserve">Portail d'administration et espace client</t>
  </si>
  <si>
    <t xml:space="preserve">Gestion des comptes, attribution des tâches, espace dédié à chaque client.</t>
  </si>
  <si>
    <t xml:space="preserve">AdminPanel.tsx, ClientSpace.tsx</t>
  </si>
  <si>
    <t xml:space="preserve">Conteneurisation Docker, PostgreSQL et intégration continue</t>
  </si>
  <si>
    <t xml:space="preserve">Stack PostgreSQL + API + frontend en conteneurs ; CI GitHub Actions (tests, typecheck, build).</t>
  </si>
  <si>
    <t xml:space="preserve">docker-compose.yml, .github/workflows/ci.yml</t>
  </si>
  <si>
    <t xml:space="preserve">Commit regroupant copilote, flotte d'agents, RAG et tableau de bord.</t>
  </si>
  <si>
    <t xml:space="preserve">Service OCR et rapprochement avec l'ERP</t>
  </si>
  <si>
    <t xml:space="preserve">Extraction des factures, facture structurée, enregistrement et rapprochement avec les écritures de l'ERP.</t>
  </si>
  <si>
    <t xml:space="preserve">ml_engine/ocr, docs/OCR.md</t>
  </si>
  <si>
    <t xml:space="preserve">Affinage de LayoutLMv3 et intégration hybride</t>
  </si>
  <si>
    <t xml:space="preserve">Annotation, entraînement sur Colab, fusion modèle + règles : 79,9 % d'exactitude par champ contre 24,4 % pour les règles.</t>
  </si>
  <si>
    <t xml:space="preserve">models/layoutlmv3_factures, docs/LAYOUTLMV3.md</t>
  </si>
  <si>
    <t xml:space="preserve">Derniers commits LayoutLMv3.</t>
  </si>
  <si>
    <t xml:space="preserve">Commits des 20-21/09</t>
  </si>
  <si>
    <t xml:space="preserve">Tests automatisés (642 tests)</t>
  </si>
  <si>
    <t xml:space="preserve">Intégrité des données, modèles, agents, sécurité, OCR ; 20 tests « vitrine » à citer.</t>
  </si>
  <si>
    <t xml:space="preserve">tests/, docs/TESTS.md</t>
  </si>
  <si>
    <t xml:space="preserve">Nettoyage du projet, refonte d'architecture et documentation</t>
  </si>
  <si>
    <t xml:space="preserve">Suppression des fichiers obsolètes ; API en couches, entrepôt Kimball reconstruit par un ETL, copilote en graphe LangGraph (comportement vérifié identique avant/après) ; méthodologie, README, documentation de chaque module et des scripts.</t>
  </si>
  <si>
    <t xml:space="preserve">etl/, api/services/, agents/copilote/, docs/METHODOLOGIE.md, README.md</t>
  </si>
  <si>
    <t xml:space="preserve">Rédaction du rapport de PFE</t>
  </si>
  <si>
    <t xml:space="preserve">Rédaction et relecture du rapport final.</t>
  </si>
  <si>
    <t xml:space="preserve">Rapport de PFE</t>
  </si>
  <si>
    <t xml:space="preserve">Préparation de la soutenance</t>
  </si>
  <si>
    <t xml:space="preserve">Scénario de démonstration minuté, plans B, questions-réponses du jury, présentation.</t>
  </si>
  <si>
    <t xml:space="preserve">docs/DEMO.md, docs/NOTE_SOUTENANCE.md, support de présentation</t>
  </si>
  <si>
    <t xml:space="preserve">Fin de la période de stage.</t>
  </si>
  <si>
    <t xml:space="preserve">—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</si>
</sst>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dd/mm"/>
    <numFmt numFmtId="167" formatCode="0%"/>
    <numFmt numFmtId="168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B42318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B42318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11"/>
      <color rgb="FFB42318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b val="true"/>
      <sz val="14"/>
      <color rgb="FF1F3A5F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9E5B"/>
        <bgColor rgb="FF008080"/>
      </patternFill>
    </fill>
    <fill>
      <patternFill patternType="solid">
        <fgColor rgb="FFF2A93B"/>
        <bgColor rgb="FFFFCC00"/>
      </patternFill>
    </fill>
    <fill>
      <patternFill patternType="solid">
        <fgColor rgb="FF9DB9DE"/>
        <bgColor rgb="FFBFC9D6"/>
      </patternFill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CE6F0"/>
        <bgColor rgb="FFE3E8E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  <diagonal/>
    </border>
    <border diagonalUp="false" diagonalDown="false">
      <left style="hair">
        <color rgb="FFE3E8EF"/>
      </left>
      <right style="hair">
        <color rgb="FFE3E8EF"/>
      </right>
      <top style="thin">
        <color rgb="FFBFC9D6"/>
      </top>
      <bottom style="thin">
        <color rgb="FFBF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5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1F3A5F"/>
        </patternFill>
      </fill>
    </dxf>
    <dxf>
      <fill>
        <patternFill>
          <bgColor rgb="FF2E9E5B"/>
        </patternFill>
      </fill>
    </dxf>
    <dxf>
      <fill>
        <patternFill>
          <bgColor rgb="FFF2A93B"/>
        </patternFill>
      </fill>
    </dxf>
    <dxf>
      <fill>
        <patternFill>
          <bgColor rgb="FF9DB9DE"/>
        </patternFill>
      </fill>
    </dxf>
    <dxf>
      <border diagonalUp="false" diagonalDown="false">
        <left style="medium">
          <color rgb="FFD92D20"/>
        </left>
        <right style="medium">
          <color rgb="FFD92D20"/>
        </right>
        <top/>
        <bottom/>
        <diagonal/>
      </border>
    </dxf>
    <dxf>
      <fill>
        <patternFill>
          <bgColor rgb="FFE6F4EC"/>
        </patternFill>
      </fill>
    </dxf>
    <dxf>
      <fill>
        <patternFill>
          <bgColor rgb="FFFDF1DE"/>
        </patternFill>
      </fill>
    </dxf>
    <dxf>
      <fill>
        <patternFill>
          <bgColor rgb="FFE8F0FA"/>
        </patternFill>
      </fill>
    </dxf>
  </dxfs>
  <colors>
    <indexedColors>
      <rgbColor rgb="FF000000"/>
      <rgbColor rgb="FFFFFFFF"/>
      <rgbColor rgb="FFD92D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6"/>
      <rgbColor rgb="FF808080"/>
      <rgbColor rgb="FF9999FF"/>
      <rgbColor rgb="FF993366"/>
      <rgbColor rgb="FFFDF1DE"/>
      <rgbColor rgb="FFE6F4EC"/>
      <rgbColor rgb="FF660066"/>
      <rgbColor rgb="FFFF8080"/>
      <rgbColor rgb="FF0066CC"/>
      <rgbColor rgb="FFDCE6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A"/>
      <rgbColor rgb="FFE3E8EF"/>
      <rgbColor rgb="FFFFFF99"/>
      <rgbColor rgb="FF9DB9DE"/>
      <rgbColor rgb="FFFF99CC"/>
      <rgbColor rgb="FFCC99FF"/>
      <rgbColor rgb="FFFFCC99"/>
      <rgbColor rgb="FF3366FF"/>
      <rgbColor rgb="FF33CCCC"/>
      <rgbColor rgb="FF99CC00"/>
      <rgbColor rgb="FFFFCC00"/>
      <rgbColor rgb="FFF2A93B"/>
      <rgbColor rgb="FFFF6600"/>
      <rgbColor rgb="FF595959"/>
      <rgbColor rgb="FF969696"/>
      <rgbColor rgb="FF1F3A5F"/>
      <rgbColor rgb="FF2E9E5B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I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10.51"/>
    <col collapsed="false" customWidth="true" hidden="false" outlineLevel="0" max="5" min="5" style="0" width="8"/>
    <col collapsed="false" customWidth="true" hidden="false" outlineLevel="0" max="6" min="6" style="0" width="10.51"/>
    <col collapsed="false" customWidth="true" hidden="false" outlineLevel="0" max="7" min="7" style="0" width="11"/>
    <col collapsed="false" customWidth="true" hidden="true" outlineLevel="0" max="8" min="8" style="0" width="7"/>
    <col collapsed="false" customWidth="true" hidden="false" outlineLevel="0" max="35" min="9" style="0" width="4.2"/>
  </cols>
  <sheetData>
    <row r="1" customFormat="false" ht="18.55" hidden="false" customHeight="false" outlineLevel="0" collapsed="false">
      <c r="A1" s="1" t="s">
        <v>0</v>
      </c>
      <c r="F1" s="2" t="s">
        <v>1</v>
      </c>
      <c r="G1" s="3" t="n">
        <v>46139</v>
      </c>
      <c r="I1" s="4" t="s">
        <v>2</v>
      </c>
      <c r="L1" s="5" t="s">
        <v>3</v>
      </c>
      <c r="M1" s="5"/>
      <c r="N1" s="5"/>
      <c r="P1" s="6" t="s">
        <v>4</v>
      </c>
      <c r="Q1" s="6"/>
      <c r="R1" s="6"/>
      <c r="T1" s="7" t="s">
        <v>5</v>
      </c>
      <c r="U1" s="7"/>
      <c r="V1" s="7"/>
      <c r="X1" s="8" t="s">
        <v>6</v>
      </c>
      <c r="Y1" s="8"/>
      <c r="Z1" s="8"/>
      <c r="AB1" s="9" t="s">
        <v>7</v>
      </c>
      <c r="AC1" s="9"/>
      <c r="AD1" s="9"/>
    </row>
    <row r="2" customFormat="false" ht="15" hidden="false" customHeight="false" outlineLevel="0" collapsed="false">
      <c r="A2" s="10" t="s">
        <v>8</v>
      </c>
      <c r="F2" s="2" t="s">
        <v>9</v>
      </c>
      <c r="G2" s="3" t="n">
        <v>46322</v>
      </c>
      <c r="I2" s="11" t="s">
        <v>10</v>
      </c>
    </row>
    <row r="3" customFormat="false" ht="15" hidden="false" customHeight="false" outlineLevel="0" collapsed="false">
      <c r="A3" s="12" t="s">
        <v>11</v>
      </c>
      <c r="F3" s="2" t="s">
        <v>12</v>
      </c>
      <c r="G3" s="13" t="n">
        <v>46293</v>
      </c>
    </row>
    <row r="4" customFormat="false" ht="15" hidden="false" customHeight="false" outlineLevel="0" collapsed="false">
      <c r="A4" s="14"/>
      <c r="B4" s="14"/>
      <c r="C4" s="14"/>
      <c r="D4" s="14"/>
      <c r="E4" s="14"/>
      <c r="F4" s="14"/>
      <c r="G4" s="14"/>
      <c r="H4" s="14"/>
      <c r="I4" s="15" t="s">
        <v>13</v>
      </c>
      <c r="J4" s="15" t="s">
        <v>14</v>
      </c>
      <c r="K4" s="15"/>
      <c r="L4" s="15"/>
      <c r="M4" s="15"/>
      <c r="N4" s="15" t="s">
        <v>15</v>
      </c>
      <c r="O4" s="15"/>
      <c r="P4" s="15"/>
      <c r="Q4" s="15"/>
      <c r="R4" s="15"/>
      <c r="S4" s="15" t="s">
        <v>16</v>
      </c>
      <c r="T4" s="15"/>
      <c r="U4" s="15"/>
      <c r="V4" s="15"/>
      <c r="W4" s="15" t="s">
        <v>17</v>
      </c>
      <c r="X4" s="15"/>
      <c r="Y4" s="15"/>
      <c r="Z4" s="15"/>
      <c r="AA4" s="15"/>
      <c r="AB4" s="15" t="s">
        <v>18</v>
      </c>
      <c r="AC4" s="15"/>
      <c r="AD4" s="15"/>
      <c r="AE4" s="15"/>
      <c r="AF4" s="15" t="s">
        <v>19</v>
      </c>
      <c r="AG4" s="15"/>
      <c r="AH4" s="15"/>
      <c r="AI4" s="15"/>
    </row>
    <row r="5" customFormat="false" ht="37.5" hidden="false" customHeight="true" outlineLevel="0" collapsed="false">
      <c r="A5" s="16" t="s">
        <v>20</v>
      </c>
      <c r="B5" s="16" t="s">
        <v>21</v>
      </c>
      <c r="C5" s="16" t="s">
        <v>22</v>
      </c>
      <c r="D5" s="16" t="s">
        <v>23</v>
      </c>
      <c r="E5" s="16" t="s">
        <v>24</v>
      </c>
      <c r="F5" s="16" t="s">
        <v>25</v>
      </c>
      <c r="G5" s="16" t="s">
        <v>26</v>
      </c>
      <c r="H5" s="16" t="s">
        <v>27</v>
      </c>
      <c r="I5" s="17" t="n">
        <v>46139</v>
      </c>
      <c r="J5" s="17" t="n">
        <v>46146</v>
      </c>
      <c r="K5" s="17" t="n">
        <v>46153</v>
      </c>
      <c r="L5" s="17" t="n">
        <v>46160</v>
      </c>
      <c r="M5" s="17" t="n">
        <v>46167</v>
      </c>
      <c r="N5" s="17" t="n">
        <v>46174</v>
      </c>
      <c r="O5" s="17" t="n">
        <v>46181</v>
      </c>
      <c r="P5" s="17" t="n">
        <v>46188</v>
      </c>
      <c r="Q5" s="17" t="n">
        <v>46195</v>
      </c>
      <c r="R5" s="17" t="n">
        <v>46202</v>
      </c>
      <c r="S5" s="17" t="n">
        <v>46209</v>
      </c>
      <c r="T5" s="17" t="n">
        <v>46216</v>
      </c>
      <c r="U5" s="17" t="n">
        <v>46223</v>
      </c>
      <c r="V5" s="17" t="n">
        <v>46230</v>
      </c>
      <c r="W5" s="17" t="n">
        <v>46237</v>
      </c>
      <c r="X5" s="17" t="n">
        <v>46244</v>
      </c>
      <c r="Y5" s="17" t="n">
        <v>46251</v>
      </c>
      <c r="Z5" s="17" t="n">
        <v>46258</v>
      </c>
      <c r="AA5" s="17" t="n">
        <v>46265</v>
      </c>
      <c r="AB5" s="17" t="n">
        <v>46272</v>
      </c>
      <c r="AC5" s="17" t="n">
        <v>46279</v>
      </c>
      <c r="AD5" s="17" t="n">
        <v>46286</v>
      </c>
      <c r="AE5" s="17" t="n">
        <v>46293</v>
      </c>
      <c r="AF5" s="17" t="n">
        <v>46300</v>
      </c>
      <c r="AG5" s="17" t="n">
        <v>46307</v>
      </c>
      <c r="AH5" s="17" t="n">
        <v>46314</v>
      </c>
      <c r="AI5" s="17" t="n">
        <v>46321</v>
      </c>
    </row>
    <row r="6" customFormat="false" ht="18.75" hidden="false" customHeight="true" outlineLevel="0" collapsed="false">
      <c r="A6" s="18" t="s">
        <v>28</v>
      </c>
      <c r="B6" s="19" t="s">
        <v>29</v>
      </c>
      <c r="C6" s="20" t="n">
        <f aca="false">MIN(C7:C11)</f>
        <v>46139</v>
      </c>
      <c r="D6" s="20" t="n">
        <f aca="false">MAX(D7:D11)</f>
        <v>46176</v>
      </c>
      <c r="E6" s="18" t="n">
        <f aca="false">D6-C6+1</f>
        <v>38</v>
      </c>
      <c r="F6" s="21" t="n">
        <f aca="false">MAX(0,MIN(1,($G$3-C6+1)/(D6-C6+1)))</f>
        <v>1</v>
      </c>
      <c r="G6" s="18" t="str">
        <f aca="false">IF(D6&lt;=$G$3,"Terminé",IF(C6&gt;$G$3,"Prévu","En cours"))</f>
        <v>Terminé</v>
      </c>
      <c r="H6" s="18" t="s">
        <v>6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customFormat="false" ht="16.5" hidden="false" customHeight="true" outlineLevel="0" collapsed="false">
      <c r="A7" s="23" t="s">
        <v>30</v>
      </c>
      <c r="B7" s="24" t="s">
        <v>31</v>
      </c>
      <c r="C7" s="25" t="n">
        <v>46139</v>
      </c>
      <c r="D7" s="25" t="n">
        <v>46152</v>
      </c>
      <c r="E7" s="23" t="n">
        <f aca="false">D7-C7+1</f>
        <v>14</v>
      </c>
      <c r="F7" s="26" t="n">
        <f aca="false">MAX(0,MIN(1,($G$3-C7+1)/(D7-C7+1)))</f>
        <v>1</v>
      </c>
      <c r="G7" s="23" t="str">
        <f aca="false">IF(D7&lt;=$G$3,"Terminé",IF(C7&gt;$G$3,"Prévu","En cours"))</f>
        <v>Terminé</v>
      </c>
      <c r="H7" s="23" t="s">
        <v>32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</row>
    <row r="8" customFormat="false" ht="16.5" hidden="false" customHeight="true" outlineLevel="0" collapsed="false">
      <c r="A8" s="23" t="s">
        <v>33</v>
      </c>
      <c r="B8" s="24" t="s">
        <v>34</v>
      </c>
      <c r="C8" s="25" t="n">
        <v>46146</v>
      </c>
      <c r="D8" s="25" t="n">
        <v>46166</v>
      </c>
      <c r="E8" s="23" t="n">
        <f aca="false">D8-C8+1</f>
        <v>21</v>
      </c>
      <c r="F8" s="26" t="n">
        <f aca="false">MAX(0,MIN(1,($G$3-C8+1)/(D8-C8+1)))</f>
        <v>1</v>
      </c>
      <c r="G8" s="23" t="str">
        <f aca="false">IF(D8&lt;=$G$3,"Terminé",IF(C8&gt;$G$3,"Prévu","En cours"))</f>
        <v>Terminé</v>
      </c>
      <c r="H8" s="23" t="s">
        <v>32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</row>
    <row r="9" customFormat="false" ht="16.5" hidden="false" customHeight="true" outlineLevel="0" collapsed="false">
      <c r="A9" s="23" t="s">
        <v>35</v>
      </c>
      <c r="B9" s="24" t="s">
        <v>36</v>
      </c>
      <c r="C9" s="25" t="n">
        <v>46160</v>
      </c>
      <c r="D9" s="25" t="n">
        <v>46176</v>
      </c>
      <c r="E9" s="23" t="n">
        <f aca="false">D9-C9+1</f>
        <v>17</v>
      </c>
      <c r="F9" s="26" t="n">
        <f aca="false">MAX(0,MIN(1,($G$3-C9+1)/(D9-C9+1)))</f>
        <v>1</v>
      </c>
      <c r="G9" s="23" t="str">
        <f aca="false">IF(D9&lt;=$G$3,"Terminé",IF(C9&gt;$G$3,"Prévu","En cours"))</f>
        <v>Terminé</v>
      </c>
      <c r="H9" s="23" t="s">
        <v>32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</row>
    <row r="10" customFormat="false" ht="16.5" hidden="false" customHeight="true" outlineLevel="0" collapsed="false">
      <c r="A10" s="23" t="s">
        <v>37</v>
      </c>
      <c r="B10" s="24" t="s">
        <v>38</v>
      </c>
      <c r="C10" s="25" t="n">
        <v>46167</v>
      </c>
      <c r="D10" s="25" t="n">
        <v>46175</v>
      </c>
      <c r="E10" s="23" t="n">
        <f aca="false">D10-C10+1</f>
        <v>9</v>
      </c>
      <c r="F10" s="26" t="n">
        <f aca="false">MAX(0,MIN(1,($G$3-C10+1)/(D10-C10+1)))</f>
        <v>1</v>
      </c>
      <c r="G10" s="23" t="str">
        <f aca="false">IF(D10&lt;=$G$3,"Terminé",IF(C10&gt;$G$3,"Prévu","En cours"))</f>
        <v>Terminé</v>
      </c>
      <c r="H10" s="23" t="s">
        <v>32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</row>
    <row r="11" customFormat="false" ht="16.5" hidden="false" customHeight="true" outlineLevel="0" collapsed="false">
      <c r="A11" s="28" t="s">
        <v>39</v>
      </c>
      <c r="B11" s="29" t="s">
        <v>40</v>
      </c>
      <c r="C11" s="30" t="n">
        <v>46176</v>
      </c>
      <c r="D11" s="30" t="n">
        <v>46176</v>
      </c>
      <c r="E11" s="28" t="n">
        <f aca="false">D11-C11+1</f>
        <v>1</v>
      </c>
      <c r="F11" s="31" t="n">
        <f aca="false">MAX(0,MIN(1,($G$3-C11+1)/(D11-C11+1)))</f>
        <v>1</v>
      </c>
      <c r="G11" s="28" t="str">
        <f aca="false">IF(D11&lt;=$G$3,"Terminé",IF(C11&gt;$G$3,"Prévu","En cours"))</f>
        <v>Terminé</v>
      </c>
      <c r="H11" s="28" t="s">
        <v>41</v>
      </c>
      <c r="I11" s="32" t="str">
        <f aca="false">IF(AND(I$5&lt;=$C11,I$5+6&gt;=$C11),"◆","")</f>
        <v/>
      </c>
      <c r="J11" s="32" t="str">
        <f aca="false">IF(AND(J$5&lt;=$C11,J$5+6&gt;=$C11),"◆","")</f>
        <v/>
      </c>
      <c r="K11" s="32" t="str">
        <f aca="false">IF(AND(K$5&lt;=$C11,K$5+6&gt;=$C11),"◆","")</f>
        <v/>
      </c>
      <c r="L11" s="32" t="str">
        <f aca="false">IF(AND(L$5&lt;=$C11,L$5+6&gt;=$C11),"◆","")</f>
        <v/>
      </c>
      <c r="M11" s="32" t="str">
        <f aca="false">IF(AND(M$5&lt;=$C11,M$5+6&gt;=$C11),"◆","")</f>
        <v/>
      </c>
      <c r="N11" s="32" t="str">
        <f aca="false">IF(AND(N$5&lt;=$C11,N$5+6&gt;=$C11),"◆","")</f>
        <v>◆</v>
      </c>
      <c r="O11" s="32" t="str">
        <f aca="false">IF(AND(O$5&lt;=$C11,O$5+6&gt;=$C11),"◆","")</f>
        <v/>
      </c>
      <c r="P11" s="32" t="str">
        <f aca="false">IF(AND(P$5&lt;=$C11,P$5+6&gt;=$C11),"◆","")</f>
        <v/>
      </c>
      <c r="Q11" s="32" t="str">
        <f aca="false">IF(AND(Q$5&lt;=$C11,Q$5+6&gt;=$C11),"◆","")</f>
        <v/>
      </c>
      <c r="R11" s="32" t="str">
        <f aca="false">IF(AND(R$5&lt;=$C11,R$5+6&gt;=$C11),"◆","")</f>
        <v/>
      </c>
      <c r="S11" s="32" t="str">
        <f aca="false">IF(AND(S$5&lt;=$C11,S$5+6&gt;=$C11),"◆","")</f>
        <v/>
      </c>
      <c r="T11" s="32" t="str">
        <f aca="false">IF(AND(T$5&lt;=$C11,T$5+6&gt;=$C11),"◆","")</f>
        <v/>
      </c>
      <c r="U11" s="32" t="str">
        <f aca="false">IF(AND(U$5&lt;=$C11,U$5+6&gt;=$C11),"◆","")</f>
        <v/>
      </c>
      <c r="V11" s="32" t="str">
        <f aca="false">IF(AND(V$5&lt;=$C11,V$5+6&gt;=$C11),"◆","")</f>
        <v/>
      </c>
      <c r="W11" s="32" t="str">
        <f aca="false">IF(AND(W$5&lt;=$C11,W$5+6&gt;=$C11),"◆","")</f>
        <v/>
      </c>
      <c r="X11" s="32" t="str">
        <f aca="false">IF(AND(X$5&lt;=$C11,X$5+6&gt;=$C11),"◆","")</f>
        <v/>
      </c>
      <c r="Y11" s="32" t="str">
        <f aca="false">IF(AND(Y$5&lt;=$C11,Y$5+6&gt;=$C11),"◆","")</f>
        <v/>
      </c>
      <c r="Z11" s="32" t="str">
        <f aca="false">IF(AND(Z$5&lt;=$C11,Z$5+6&gt;=$C11),"◆","")</f>
        <v/>
      </c>
      <c r="AA11" s="32" t="str">
        <f aca="false">IF(AND(AA$5&lt;=$C11,AA$5+6&gt;=$C11),"◆","")</f>
        <v/>
      </c>
      <c r="AB11" s="32" t="str">
        <f aca="false">IF(AND(AB$5&lt;=$C11,AB$5+6&gt;=$C11),"◆","")</f>
        <v/>
      </c>
      <c r="AC11" s="32" t="str">
        <f aca="false">IF(AND(AC$5&lt;=$C11,AC$5+6&gt;=$C11),"◆","")</f>
        <v/>
      </c>
      <c r="AD11" s="32" t="str">
        <f aca="false">IF(AND(AD$5&lt;=$C11,AD$5+6&gt;=$C11),"◆","")</f>
        <v/>
      </c>
      <c r="AE11" s="32" t="str">
        <f aca="false">IF(AND(AE$5&lt;=$C11,AE$5+6&gt;=$C11),"◆","")</f>
        <v/>
      </c>
      <c r="AF11" s="32" t="str">
        <f aca="false">IF(AND(AF$5&lt;=$C11,AF$5+6&gt;=$C11),"◆","")</f>
        <v/>
      </c>
      <c r="AG11" s="32" t="str">
        <f aca="false">IF(AND(AG$5&lt;=$C11,AG$5+6&gt;=$C11),"◆","")</f>
        <v/>
      </c>
      <c r="AH11" s="32" t="str">
        <f aca="false">IF(AND(AH$5&lt;=$C11,AH$5+6&gt;=$C11),"◆","")</f>
        <v/>
      </c>
      <c r="AI11" s="32" t="str">
        <f aca="false">IF(AND(AI$5&lt;=$C11,AI$5+6&gt;=$C11),"◆","")</f>
        <v/>
      </c>
    </row>
    <row r="12" customFormat="false" ht="18.75" hidden="false" customHeight="true" outlineLevel="0" collapsed="false">
      <c r="A12" s="18" t="s">
        <v>42</v>
      </c>
      <c r="B12" s="19" t="s">
        <v>43</v>
      </c>
      <c r="C12" s="20" t="n">
        <f aca="false">MIN(C13:C15)</f>
        <v>46169</v>
      </c>
      <c r="D12" s="20" t="n">
        <f aca="false">MAX(D13:D15)</f>
        <v>46199</v>
      </c>
      <c r="E12" s="18" t="n">
        <f aca="false">D12-C12+1</f>
        <v>31</v>
      </c>
      <c r="F12" s="21" t="n">
        <f aca="false">MAX(0,MIN(1,($G$3-C12+1)/(D12-C12+1)))</f>
        <v>1</v>
      </c>
      <c r="G12" s="18" t="str">
        <f aca="false">IF(D12&lt;=$G$3,"Terminé",IF(C12&gt;$G$3,"Prévu","En cours"))</f>
        <v>Terminé</v>
      </c>
      <c r="H12" s="18" t="s">
        <v>6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customFormat="false" ht="16.5" hidden="false" customHeight="true" outlineLevel="0" collapsed="false">
      <c r="A13" s="23" t="s">
        <v>44</v>
      </c>
      <c r="B13" s="24" t="s">
        <v>45</v>
      </c>
      <c r="C13" s="25" t="n">
        <v>46169</v>
      </c>
      <c r="D13" s="25" t="n">
        <v>46185</v>
      </c>
      <c r="E13" s="23" t="n">
        <f aca="false">D13-C13+1</f>
        <v>17</v>
      </c>
      <c r="F13" s="26" t="n">
        <f aca="false">MAX(0,MIN(1,($G$3-C13+1)/(D13-C13+1)))</f>
        <v>1</v>
      </c>
      <c r="G13" s="23" t="str">
        <f aca="false">IF(D13&lt;=$G$3,"Terminé",IF(C13&gt;$G$3,"Prévu","En cours"))</f>
        <v>Terminé</v>
      </c>
      <c r="H13" s="23" t="s">
        <v>32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</row>
    <row r="14" customFormat="false" ht="16.5" hidden="false" customHeight="true" outlineLevel="0" collapsed="false">
      <c r="A14" s="23" t="s">
        <v>46</v>
      </c>
      <c r="B14" s="24" t="s">
        <v>47</v>
      </c>
      <c r="C14" s="25" t="n">
        <v>46174</v>
      </c>
      <c r="D14" s="25" t="n">
        <v>46180</v>
      </c>
      <c r="E14" s="23" t="n">
        <f aca="false">D14-C14+1</f>
        <v>7</v>
      </c>
      <c r="F14" s="26" t="n">
        <f aca="false">MAX(0,MIN(1,($G$3-C14+1)/(D14-C14+1)))</f>
        <v>1</v>
      </c>
      <c r="G14" s="23" t="str">
        <f aca="false">IF(D14&lt;=$G$3,"Terminé",IF(C14&gt;$G$3,"Prévu","En cours"))</f>
        <v>Terminé</v>
      </c>
      <c r="H14" s="23" t="s">
        <v>32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</row>
    <row r="15" customFormat="false" ht="16.5" hidden="false" customHeight="true" outlineLevel="0" collapsed="false">
      <c r="A15" s="23" t="s">
        <v>48</v>
      </c>
      <c r="B15" s="24" t="s">
        <v>49</v>
      </c>
      <c r="C15" s="25" t="n">
        <v>46181</v>
      </c>
      <c r="D15" s="25" t="n">
        <v>46199</v>
      </c>
      <c r="E15" s="23" t="n">
        <f aca="false">D15-C15+1</f>
        <v>19</v>
      </c>
      <c r="F15" s="26" t="n">
        <f aca="false">MAX(0,MIN(1,($G$3-C15+1)/(D15-C15+1)))</f>
        <v>1</v>
      </c>
      <c r="G15" s="23" t="str">
        <f aca="false">IF(D15&lt;=$G$3,"Terminé",IF(C15&gt;$G$3,"Prévu","En cours"))</f>
        <v>Terminé</v>
      </c>
      <c r="H15" s="23" t="s">
        <v>32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</row>
    <row r="16" customFormat="false" ht="18.75" hidden="false" customHeight="true" outlineLevel="0" collapsed="false">
      <c r="A16" s="18" t="s">
        <v>50</v>
      </c>
      <c r="B16" s="19" t="s">
        <v>51</v>
      </c>
      <c r="C16" s="20" t="n">
        <f aca="false">MIN(C17:C23)</f>
        <v>46176</v>
      </c>
      <c r="D16" s="20" t="n">
        <f aca="false">MAX(D17:D23)</f>
        <v>46292</v>
      </c>
      <c r="E16" s="18" t="n">
        <f aca="false">D16-C16+1</f>
        <v>117</v>
      </c>
      <c r="F16" s="21" t="n">
        <f aca="false">MAX(0,MIN(1,($G$3-C16+1)/(D16-C16+1)))</f>
        <v>1</v>
      </c>
      <c r="G16" s="18" t="str">
        <f aca="false">IF(D16&lt;=$G$3,"Terminé",IF(C16&gt;$G$3,"Prévu","En cours"))</f>
        <v>Terminé</v>
      </c>
      <c r="H16" s="18" t="s">
        <v>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customFormat="false" ht="16.5" hidden="false" customHeight="true" outlineLevel="0" collapsed="false">
      <c r="A17" s="23" t="s">
        <v>52</v>
      </c>
      <c r="B17" s="24" t="s">
        <v>53</v>
      </c>
      <c r="C17" s="25" t="n">
        <v>46176</v>
      </c>
      <c r="D17" s="25" t="n">
        <v>46185</v>
      </c>
      <c r="E17" s="23" t="n">
        <f aca="false">D17-C17+1</f>
        <v>10</v>
      </c>
      <c r="F17" s="26" t="n">
        <f aca="false">MAX(0,MIN(1,($G$3-C17+1)/(D17-C17+1)))</f>
        <v>1</v>
      </c>
      <c r="G17" s="23" t="str">
        <f aca="false">IF(D17&lt;=$G$3,"Terminé",IF(C17&gt;$G$3,"Prévu","En cours"))</f>
        <v>Terminé</v>
      </c>
      <c r="H17" s="23" t="s">
        <v>32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</row>
    <row r="18" customFormat="false" ht="16.5" hidden="false" customHeight="true" outlineLevel="0" collapsed="false">
      <c r="A18" s="23" t="s">
        <v>54</v>
      </c>
      <c r="B18" s="24" t="s">
        <v>55</v>
      </c>
      <c r="C18" s="25" t="n">
        <v>46188</v>
      </c>
      <c r="D18" s="25" t="n">
        <v>46227</v>
      </c>
      <c r="E18" s="23" t="n">
        <f aca="false">D18-C18+1</f>
        <v>40</v>
      </c>
      <c r="F18" s="26" t="n">
        <f aca="false">MAX(0,MIN(1,($G$3-C18+1)/(D18-C18+1)))</f>
        <v>1</v>
      </c>
      <c r="G18" s="23" t="str">
        <f aca="false">IF(D18&lt;=$G$3,"Terminé",IF(C18&gt;$G$3,"Prévu","En cours"))</f>
        <v>Terminé</v>
      </c>
      <c r="H18" s="23" t="s">
        <v>32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</row>
    <row r="19" customFormat="false" ht="16.5" hidden="false" customHeight="true" outlineLevel="0" collapsed="false">
      <c r="A19" s="23" t="s">
        <v>56</v>
      </c>
      <c r="B19" s="24" t="s">
        <v>57</v>
      </c>
      <c r="C19" s="25" t="n">
        <v>46209</v>
      </c>
      <c r="D19" s="25" t="n">
        <v>46232</v>
      </c>
      <c r="E19" s="23" t="n">
        <f aca="false">D19-C19+1</f>
        <v>24</v>
      </c>
      <c r="F19" s="26" t="n">
        <f aca="false">MAX(0,MIN(1,($G$3-C19+1)/(D19-C19+1)))</f>
        <v>1</v>
      </c>
      <c r="G19" s="23" t="str">
        <f aca="false">IF(D19&lt;=$G$3,"Terminé",IF(C19&gt;$G$3,"Prévu","En cours"))</f>
        <v>Terminé</v>
      </c>
      <c r="H19" s="23" t="s">
        <v>32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</row>
    <row r="20" customFormat="false" ht="16.5" hidden="false" customHeight="true" outlineLevel="0" collapsed="false">
      <c r="A20" s="23" t="s">
        <v>58</v>
      </c>
      <c r="B20" s="24" t="s">
        <v>59</v>
      </c>
      <c r="C20" s="25" t="n">
        <v>46266</v>
      </c>
      <c r="D20" s="25" t="n">
        <v>46281</v>
      </c>
      <c r="E20" s="23" t="n">
        <f aca="false">D20-C20+1</f>
        <v>16</v>
      </c>
      <c r="F20" s="26" t="n">
        <f aca="false">MAX(0,MIN(1,($G$3-C20+1)/(D20-C20+1)))</f>
        <v>1</v>
      </c>
      <c r="G20" s="23" t="str">
        <f aca="false">IF(D20&lt;=$G$3,"Terminé",IF(C20&gt;$G$3,"Prévu","En cours"))</f>
        <v>Terminé</v>
      </c>
      <c r="H20" s="23" t="s">
        <v>32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</row>
    <row r="21" customFormat="false" ht="16.5" hidden="false" customHeight="true" outlineLevel="0" collapsed="false">
      <c r="A21" s="23" t="s">
        <v>60</v>
      </c>
      <c r="B21" s="24" t="s">
        <v>61</v>
      </c>
      <c r="C21" s="25" t="n">
        <v>46272</v>
      </c>
      <c r="D21" s="25" t="n">
        <v>46283</v>
      </c>
      <c r="E21" s="23" t="n">
        <f aca="false">D21-C21+1</f>
        <v>12</v>
      </c>
      <c r="F21" s="26" t="n">
        <f aca="false">MAX(0,MIN(1,($G$3-C21+1)/(D21-C21+1)))</f>
        <v>1</v>
      </c>
      <c r="G21" s="23" t="str">
        <f aca="false">IF(D21&lt;=$G$3,"Terminé",IF(C21&gt;$G$3,"Prévu","En cours"))</f>
        <v>Terminé</v>
      </c>
      <c r="H21" s="23" t="s">
        <v>32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customFormat="false" ht="16.5" hidden="false" customHeight="true" outlineLevel="0" collapsed="false">
      <c r="A22" s="23" t="s">
        <v>62</v>
      </c>
      <c r="B22" s="24" t="s">
        <v>63</v>
      </c>
      <c r="C22" s="25" t="n">
        <v>46273</v>
      </c>
      <c r="D22" s="25" t="n">
        <v>46284</v>
      </c>
      <c r="E22" s="23" t="n">
        <f aca="false">D22-C22+1</f>
        <v>12</v>
      </c>
      <c r="F22" s="26" t="n">
        <f aca="false">MAX(0,MIN(1,($G$3-C22+1)/(D22-C22+1)))</f>
        <v>1</v>
      </c>
      <c r="G22" s="23" t="str">
        <f aca="false">IF(D22&lt;=$G$3,"Terminé",IF(C22&gt;$G$3,"Prévu","En cours"))</f>
        <v>Terminé</v>
      </c>
      <c r="H22" s="23" t="s">
        <v>32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</row>
    <row r="23" customFormat="false" ht="16.5" hidden="false" customHeight="true" outlineLevel="0" collapsed="false">
      <c r="A23" s="23" t="s">
        <v>64</v>
      </c>
      <c r="B23" s="24" t="s">
        <v>65</v>
      </c>
      <c r="C23" s="25" t="n">
        <v>46283</v>
      </c>
      <c r="D23" s="25" t="n">
        <v>46292</v>
      </c>
      <c r="E23" s="23" t="n">
        <f aca="false">D23-C23+1</f>
        <v>10</v>
      </c>
      <c r="F23" s="26" t="n">
        <f aca="false">MAX(0,MIN(1,($G$3-C23+1)/(D23-C23+1)))</f>
        <v>1</v>
      </c>
      <c r="G23" s="23" t="str">
        <f aca="false">IF(D23&lt;=$G$3,"Terminé",IF(C23&gt;$G$3,"Prévu","En cours"))</f>
        <v>Terminé</v>
      </c>
      <c r="H23" s="23" t="s">
        <v>32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</row>
    <row r="24" customFormat="false" ht="18.75" hidden="false" customHeight="true" outlineLevel="0" collapsed="false">
      <c r="A24" s="18" t="s">
        <v>66</v>
      </c>
      <c r="B24" s="19" t="s">
        <v>67</v>
      </c>
      <c r="C24" s="20" t="n">
        <f aca="false">MIN(C25:C30)</f>
        <v>46181</v>
      </c>
      <c r="D24" s="20" t="n">
        <f aca="false">MAX(D25:D30)</f>
        <v>46287</v>
      </c>
      <c r="E24" s="18" t="n">
        <f aca="false">D24-C24+1</f>
        <v>107</v>
      </c>
      <c r="F24" s="21" t="n">
        <f aca="false">MAX(0,MIN(1,($G$3-C24+1)/(D24-C24+1)))</f>
        <v>1</v>
      </c>
      <c r="G24" s="18" t="str">
        <f aca="false">IF(D24&lt;=$G$3,"Terminé",IF(C24&gt;$G$3,"Prévu","En cours"))</f>
        <v>Terminé</v>
      </c>
      <c r="H24" s="18" t="s">
        <v>6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customFormat="false" ht="16.5" hidden="false" customHeight="true" outlineLevel="0" collapsed="false">
      <c r="A25" s="23" t="s">
        <v>68</v>
      </c>
      <c r="B25" s="24" t="s">
        <v>69</v>
      </c>
      <c r="C25" s="25" t="n">
        <v>46181</v>
      </c>
      <c r="D25" s="25" t="n">
        <v>46185</v>
      </c>
      <c r="E25" s="23" t="n">
        <f aca="false">D25-C25+1</f>
        <v>5</v>
      </c>
      <c r="F25" s="26" t="n">
        <f aca="false">MAX(0,MIN(1,($G$3-C25+1)/(D25-C25+1)))</f>
        <v>1</v>
      </c>
      <c r="G25" s="23" t="str">
        <f aca="false">IF(D25&lt;=$G$3,"Terminé",IF(C25&gt;$G$3,"Prévu","En cours"))</f>
        <v>Terminé</v>
      </c>
      <c r="H25" s="23" t="s">
        <v>32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</row>
    <row r="26" customFormat="false" ht="16.5" hidden="false" customHeight="true" outlineLevel="0" collapsed="false">
      <c r="A26" s="23" t="s">
        <v>70</v>
      </c>
      <c r="B26" s="24" t="s">
        <v>71</v>
      </c>
      <c r="C26" s="25" t="n">
        <v>46202</v>
      </c>
      <c r="D26" s="25" t="n">
        <v>46232</v>
      </c>
      <c r="E26" s="23" t="n">
        <f aca="false">D26-C26+1</f>
        <v>31</v>
      </c>
      <c r="F26" s="26" t="n">
        <f aca="false">MAX(0,MIN(1,($G$3-C26+1)/(D26-C26+1)))</f>
        <v>1</v>
      </c>
      <c r="G26" s="23" t="str">
        <f aca="false">IF(D26&lt;=$G$3,"Terminé",IF(C26&gt;$G$3,"Prévu","En cours"))</f>
        <v>Terminé</v>
      </c>
      <c r="H26" s="23" t="s">
        <v>32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</row>
    <row r="27" customFormat="false" ht="16.5" hidden="false" customHeight="true" outlineLevel="0" collapsed="false">
      <c r="A27" s="23" t="s">
        <v>72</v>
      </c>
      <c r="B27" s="24" t="s">
        <v>73</v>
      </c>
      <c r="C27" s="25" t="n">
        <v>46209</v>
      </c>
      <c r="D27" s="25" t="n">
        <v>46232</v>
      </c>
      <c r="E27" s="23" t="n">
        <f aca="false">D27-C27+1</f>
        <v>24</v>
      </c>
      <c r="F27" s="26" t="n">
        <f aca="false">MAX(0,MIN(1,($G$3-C27+1)/(D27-C27+1)))</f>
        <v>1</v>
      </c>
      <c r="G27" s="23" t="str">
        <f aca="false">IF(D27&lt;=$G$3,"Terminé",IF(C27&gt;$G$3,"Prévu","En cours"))</f>
        <v>Terminé</v>
      </c>
      <c r="H27" s="23" t="s">
        <v>32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</row>
    <row r="28" customFormat="false" ht="16.5" hidden="false" customHeight="true" outlineLevel="0" collapsed="false">
      <c r="A28" s="23" t="s">
        <v>74</v>
      </c>
      <c r="B28" s="24" t="s">
        <v>75</v>
      </c>
      <c r="C28" s="25" t="n">
        <v>46216</v>
      </c>
      <c r="D28" s="25" t="n">
        <v>46232</v>
      </c>
      <c r="E28" s="23" t="n">
        <f aca="false">D28-C28+1</f>
        <v>17</v>
      </c>
      <c r="F28" s="26" t="n">
        <f aca="false">MAX(0,MIN(1,($G$3-C28+1)/(D28-C28+1)))</f>
        <v>1</v>
      </c>
      <c r="G28" s="23" t="str">
        <f aca="false">IF(D28&lt;=$G$3,"Terminé",IF(C28&gt;$G$3,"Prévu","En cours"))</f>
        <v>Terminé</v>
      </c>
      <c r="H28" s="23" t="s">
        <v>32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customFormat="false" ht="16.5" hidden="false" customHeight="true" outlineLevel="0" collapsed="false">
      <c r="A29" s="23" t="s">
        <v>76</v>
      </c>
      <c r="B29" s="24" t="s">
        <v>77</v>
      </c>
      <c r="C29" s="25" t="n">
        <v>46266</v>
      </c>
      <c r="D29" s="25" t="n">
        <v>46280</v>
      </c>
      <c r="E29" s="23" t="n">
        <f aca="false">D29-C29+1</f>
        <v>15</v>
      </c>
      <c r="F29" s="26" t="n">
        <f aca="false">MAX(0,MIN(1,($G$3-C29+1)/(D29-C29+1)))</f>
        <v>1</v>
      </c>
      <c r="G29" s="23" t="str">
        <f aca="false">IF(D29&lt;=$G$3,"Terminé",IF(C29&gt;$G$3,"Prévu","En cours"))</f>
        <v>Terminé</v>
      </c>
      <c r="H29" s="23" t="s">
        <v>32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</row>
    <row r="30" customFormat="false" ht="16.5" hidden="false" customHeight="true" outlineLevel="0" collapsed="false">
      <c r="A30" s="23" t="s">
        <v>78</v>
      </c>
      <c r="B30" s="24" t="s">
        <v>79</v>
      </c>
      <c r="C30" s="25" t="n">
        <v>46282</v>
      </c>
      <c r="D30" s="25" t="n">
        <v>46287</v>
      </c>
      <c r="E30" s="23" t="n">
        <f aca="false">D30-C30+1</f>
        <v>6</v>
      </c>
      <c r="F30" s="26" t="n">
        <f aca="false">MAX(0,MIN(1,($G$3-C30+1)/(D30-C30+1)))</f>
        <v>1</v>
      </c>
      <c r="G30" s="23" t="str">
        <f aca="false">IF(D30&lt;=$G$3,"Terminé",IF(C30&gt;$G$3,"Prévu","En cours"))</f>
        <v>Terminé</v>
      </c>
      <c r="H30" s="23" t="s">
        <v>32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 customFormat="false" ht="18.75" hidden="false" customHeight="true" outlineLevel="0" collapsed="false">
      <c r="A31" s="18" t="s">
        <v>80</v>
      </c>
      <c r="B31" s="19" t="s">
        <v>81</v>
      </c>
      <c r="C31" s="20" t="n">
        <f aca="false">MIN(C32:C39)</f>
        <v>46188</v>
      </c>
      <c r="D31" s="20" t="n">
        <f aca="false">MAX(D32:D39)</f>
        <v>46277</v>
      </c>
      <c r="E31" s="18" t="n">
        <f aca="false">D31-C31+1</f>
        <v>90</v>
      </c>
      <c r="F31" s="21" t="n">
        <f aca="false">MAX(0,MIN(1,($G$3-C31+1)/(D31-C31+1)))</f>
        <v>1</v>
      </c>
      <c r="G31" s="18" t="str">
        <f aca="false">IF(D31&lt;=$G$3,"Terminé",IF(C31&gt;$G$3,"Prévu","En cours"))</f>
        <v>Terminé</v>
      </c>
      <c r="H31" s="18" t="s">
        <v>6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</row>
    <row r="32" customFormat="false" ht="16.5" hidden="false" customHeight="true" outlineLevel="0" collapsed="false">
      <c r="A32" s="23" t="s">
        <v>82</v>
      </c>
      <c r="B32" s="24" t="s">
        <v>83</v>
      </c>
      <c r="C32" s="25" t="n">
        <v>46188</v>
      </c>
      <c r="D32" s="25" t="n">
        <v>46232</v>
      </c>
      <c r="E32" s="23" t="n">
        <f aca="false">D32-C32+1</f>
        <v>45</v>
      </c>
      <c r="F32" s="26" t="n">
        <f aca="false">MAX(0,MIN(1,($G$3-C32+1)/(D32-C32+1)))</f>
        <v>1</v>
      </c>
      <c r="G32" s="23" t="str">
        <f aca="false">IF(D32&lt;=$G$3,"Terminé",IF(C32&gt;$G$3,"Prévu","En cours"))</f>
        <v>Terminé</v>
      </c>
      <c r="H32" s="23" t="s">
        <v>32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</row>
    <row r="33" customFormat="false" ht="16.5" hidden="false" customHeight="true" outlineLevel="0" collapsed="false">
      <c r="A33" s="23" t="s">
        <v>84</v>
      </c>
      <c r="B33" s="24" t="s">
        <v>85</v>
      </c>
      <c r="C33" s="25" t="n">
        <v>46223</v>
      </c>
      <c r="D33" s="25" t="n">
        <v>46265</v>
      </c>
      <c r="E33" s="23" t="n">
        <f aca="false">D33-C33+1</f>
        <v>43</v>
      </c>
      <c r="F33" s="26" t="n">
        <f aca="false">MAX(0,MIN(1,($G$3-C33+1)/(D33-C33+1)))</f>
        <v>1</v>
      </c>
      <c r="G33" s="23" t="str">
        <f aca="false">IF(D33&lt;=$G$3,"Terminé",IF(C33&gt;$G$3,"Prévu","En cours"))</f>
        <v>Terminé</v>
      </c>
      <c r="H33" s="23" t="s">
        <v>32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</row>
    <row r="34" customFormat="false" ht="16.5" hidden="false" customHeight="true" outlineLevel="0" collapsed="false">
      <c r="A34" s="23" t="s">
        <v>86</v>
      </c>
      <c r="B34" s="24" t="s">
        <v>87</v>
      </c>
      <c r="C34" s="25" t="n">
        <v>46244</v>
      </c>
      <c r="D34" s="25" t="n">
        <v>46258</v>
      </c>
      <c r="E34" s="23" t="n">
        <f aca="false">D34-C34+1</f>
        <v>15</v>
      </c>
      <c r="F34" s="26" t="n">
        <f aca="false">MAX(0,MIN(1,($G$3-C34+1)/(D34-C34+1)))</f>
        <v>1</v>
      </c>
      <c r="G34" s="23" t="str">
        <f aca="false">IF(D34&lt;=$G$3,"Terminé",IF(C34&gt;$G$3,"Prévu","En cours"))</f>
        <v>Terminé</v>
      </c>
      <c r="H34" s="23" t="s">
        <v>32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</row>
    <row r="35" customFormat="false" ht="16.5" hidden="false" customHeight="true" outlineLevel="0" collapsed="false">
      <c r="A35" s="23" t="s">
        <v>88</v>
      </c>
      <c r="B35" s="24" t="s">
        <v>89</v>
      </c>
      <c r="C35" s="25" t="n">
        <v>46258</v>
      </c>
      <c r="D35" s="25" t="n">
        <v>46269</v>
      </c>
      <c r="E35" s="23" t="n">
        <f aca="false">D35-C35+1</f>
        <v>12</v>
      </c>
      <c r="F35" s="26" t="n">
        <f aca="false">MAX(0,MIN(1,($G$3-C35+1)/(D35-C35+1)))</f>
        <v>1</v>
      </c>
      <c r="G35" s="23" t="str">
        <f aca="false">IF(D35&lt;=$G$3,"Terminé",IF(C35&gt;$G$3,"Prévu","En cours"))</f>
        <v>Terminé</v>
      </c>
      <c r="H35" s="23" t="s">
        <v>32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customFormat="false" ht="16.5" hidden="false" customHeight="true" outlineLevel="0" collapsed="false">
      <c r="A36" s="23" t="s">
        <v>90</v>
      </c>
      <c r="B36" s="24" t="s">
        <v>91</v>
      </c>
      <c r="C36" s="25" t="n">
        <v>46266</v>
      </c>
      <c r="D36" s="25" t="n">
        <v>46277</v>
      </c>
      <c r="E36" s="23" t="n">
        <f aca="false">D36-C36+1</f>
        <v>12</v>
      </c>
      <c r="F36" s="26" t="n">
        <f aca="false">MAX(0,MIN(1,($G$3-C36+1)/(D36-C36+1)))</f>
        <v>1</v>
      </c>
      <c r="G36" s="23" t="str">
        <f aca="false">IF(D36&lt;=$G$3,"Terminé",IF(C36&gt;$G$3,"Prévu","En cours"))</f>
        <v>Terminé</v>
      </c>
      <c r="H36" s="23" t="s">
        <v>32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customFormat="false" ht="16.5" hidden="false" customHeight="true" outlineLevel="0" collapsed="false">
      <c r="A37" s="23" t="s">
        <v>92</v>
      </c>
      <c r="B37" s="24" t="s">
        <v>93</v>
      </c>
      <c r="C37" s="25" t="n">
        <v>46251</v>
      </c>
      <c r="D37" s="25" t="n">
        <v>46270</v>
      </c>
      <c r="E37" s="23" t="n">
        <f aca="false">D37-C37+1</f>
        <v>20</v>
      </c>
      <c r="F37" s="26" t="n">
        <f aca="false">MAX(0,MIN(1,($G$3-C37+1)/(D37-C37+1)))</f>
        <v>1</v>
      </c>
      <c r="G37" s="23" t="str">
        <f aca="false">IF(D37&lt;=$G$3,"Terminé",IF(C37&gt;$G$3,"Prévu","En cours"))</f>
        <v>Terminé</v>
      </c>
      <c r="H37" s="23" t="s">
        <v>32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</row>
    <row r="38" customFormat="false" ht="16.5" hidden="false" customHeight="true" outlineLevel="0" collapsed="false">
      <c r="A38" s="23" t="s">
        <v>94</v>
      </c>
      <c r="B38" s="24" t="s">
        <v>95</v>
      </c>
      <c r="C38" s="25" t="n">
        <v>46230</v>
      </c>
      <c r="D38" s="25" t="n">
        <v>46277</v>
      </c>
      <c r="E38" s="23" t="n">
        <f aca="false">D38-C38+1</f>
        <v>48</v>
      </c>
      <c r="F38" s="26" t="n">
        <f aca="false">MAX(0,MIN(1,($G$3-C38+1)/(D38-C38+1)))</f>
        <v>1</v>
      </c>
      <c r="G38" s="23" t="str">
        <f aca="false">IF(D38&lt;=$G$3,"Terminé",IF(C38&gt;$G$3,"Prévu","En cours"))</f>
        <v>Terminé</v>
      </c>
      <c r="H38" s="23" t="s">
        <v>32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</row>
    <row r="39" customFormat="false" ht="16.5" hidden="false" customHeight="true" outlineLevel="0" collapsed="false">
      <c r="A39" s="28" t="s">
        <v>96</v>
      </c>
      <c r="B39" s="29" t="s">
        <v>97</v>
      </c>
      <c r="C39" s="30" t="n">
        <v>46232</v>
      </c>
      <c r="D39" s="30" t="n">
        <v>46232</v>
      </c>
      <c r="E39" s="28" t="n">
        <f aca="false">D39-C39+1</f>
        <v>1</v>
      </c>
      <c r="F39" s="31" t="n">
        <f aca="false">MAX(0,MIN(1,($G$3-C39+1)/(D39-C39+1)))</f>
        <v>1</v>
      </c>
      <c r="G39" s="28" t="str">
        <f aca="false">IF(D39&lt;=$G$3,"Terminé",IF(C39&gt;$G$3,"Prévu","En cours"))</f>
        <v>Terminé</v>
      </c>
      <c r="H39" s="28" t="s">
        <v>41</v>
      </c>
      <c r="I39" s="32" t="str">
        <f aca="false">IF(AND(I$5&lt;=$C39,I$5+6&gt;=$C39),"◆","")</f>
        <v/>
      </c>
      <c r="J39" s="32" t="str">
        <f aca="false">IF(AND(J$5&lt;=$C39,J$5+6&gt;=$C39),"◆","")</f>
        <v/>
      </c>
      <c r="K39" s="32" t="str">
        <f aca="false">IF(AND(K$5&lt;=$C39,K$5+6&gt;=$C39),"◆","")</f>
        <v/>
      </c>
      <c r="L39" s="32" t="str">
        <f aca="false">IF(AND(L$5&lt;=$C39,L$5+6&gt;=$C39),"◆","")</f>
        <v/>
      </c>
      <c r="M39" s="32" t="str">
        <f aca="false">IF(AND(M$5&lt;=$C39,M$5+6&gt;=$C39),"◆","")</f>
        <v/>
      </c>
      <c r="N39" s="32" t="str">
        <f aca="false">IF(AND(N$5&lt;=$C39,N$5+6&gt;=$C39),"◆","")</f>
        <v/>
      </c>
      <c r="O39" s="32" t="str">
        <f aca="false">IF(AND(O$5&lt;=$C39,O$5+6&gt;=$C39),"◆","")</f>
        <v/>
      </c>
      <c r="P39" s="32" t="str">
        <f aca="false">IF(AND(P$5&lt;=$C39,P$5+6&gt;=$C39),"◆","")</f>
        <v/>
      </c>
      <c r="Q39" s="32" t="str">
        <f aca="false">IF(AND(Q$5&lt;=$C39,Q$5+6&gt;=$C39),"◆","")</f>
        <v/>
      </c>
      <c r="R39" s="32" t="str">
        <f aca="false">IF(AND(R$5&lt;=$C39,R$5+6&gt;=$C39),"◆","")</f>
        <v/>
      </c>
      <c r="S39" s="32" t="str">
        <f aca="false">IF(AND(S$5&lt;=$C39,S$5+6&gt;=$C39),"◆","")</f>
        <v/>
      </c>
      <c r="T39" s="32" t="str">
        <f aca="false">IF(AND(T$5&lt;=$C39,T$5+6&gt;=$C39),"◆","")</f>
        <v/>
      </c>
      <c r="U39" s="32" t="str">
        <f aca="false">IF(AND(U$5&lt;=$C39,U$5+6&gt;=$C39),"◆","")</f>
        <v/>
      </c>
      <c r="V39" s="32" t="str">
        <f aca="false">IF(AND(V$5&lt;=$C39,V$5+6&gt;=$C39),"◆","")</f>
        <v>◆</v>
      </c>
      <c r="W39" s="32" t="str">
        <f aca="false">IF(AND(W$5&lt;=$C39,W$5+6&gt;=$C39),"◆","")</f>
        <v/>
      </c>
      <c r="X39" s="32" t="str">
        <f aca="false">IF(AND(X$5&lt;=$C39,X$5+6&gt;=$C39),"◆","")</f>
        <v/>
      </c>
      <c r="Y39" s="32" t="str">
        <f aca="false">IF(AND(Y$5&lt;=$C39,Y$5+6&gt;=$C39),"◆","")</f>
        <v/>
      </c>
      <c r="Z39" s="32" t="str">
        <f aca="false">IF(AND(Z$5&lt;=$C39,Z$5+6&gt;=$C39),"◆","")</f>
        <v/>
      </c>
      <c r="AA39" s="32" t="str">
        <f aca="false">IF(AND(AA$5&lt;=$C39,AA$5+6&gt;=$C39),"◆","")</f>
        <v/>
      </c>
      <c r="AB39" s="32" t="str">
        <f aca="false">IF(AND(AB$5&lt;=$C39,AB$5+6&gt;=$C39),"◆","")</f>
        <v/>
      </c>
      <c r="AC39" s="32" t="str">
        <f aca="false">IF(AND(AC$5&lt;=$C39,AC$5+6&gt;=$C39),"◆","")</f>
        <v/>
      </c>
      <c r="AD39" s="32" t="str">
        <f aca="false">IF(AND(AD$5&lt;=$C39,AD$5+6&gt;=$C39),"◆","")</f>
        <v/>
      </c>
      <c r="AE39" s="32" t="str">
        <f aca="false">IF(AND(AE$5&lt;=$C39,AE$5+6&gt;=$C39),"◆","")</f>
        <v/>
      </c>
      <c r="AF39" s="32" t="str">
        <f aca="false">IF(AND(AF$5&lt;=$C39,AF$5+6&gt;=$C39),"◆","")</f>
        <v/>
      </c>
      <c r="AG39" s="32" t="str">
        <f aca="false">IF(AND(AG$5&lt;=$C39,AG$5+6&gt;=$C39),"◆","")</f>
        <v/>
      </c>
      <c r="AH39" s="32" t="str">
        <f aca="false">IF(AND(AH$5&lt;=$C39,AH$5+6&gt;=$C39),"◆","")</f>
        <v/>
      </c>
      <c r="AI39" s="32" t="str">
        <f aca="false">IF(AND(AI$5&lt;=$C39,AI$5+6&gt;=$C39),"◆","")</f>
        <v/>
      </c>
    </row>
    <row r="40" customFormat="false" ht="18.75" hidden="false" customHeight="true" outlineLevel="0" collapsed="false">
      <c r="A40" s="18" t="s">
        <v>98</v>
      </c>
      <c r="B40" s="19" t="s">
        <v>99</v>
      </c>
      <c r="C40" s="20" t="n">
        <f aca="false">MIN(C41:C43)</f>
        <v>46266</v>
      </c>
      <c r="D40" s="20" t="n">
        <f aca="false">MAX(D41:D43)</f>
        <v>46286</v>
      </c>
      <c r="E40" s="18" t="n">
        <f aca="false">D40-C40+1</f>
        <v>21</v>
      </c>
      <c r="F40" s="21" t="n">
        <f aca="false">MAX(0,MIN(1,($G$3-C40+1)/(D40-C40+1)))</f>
        <v>1</v>
      </c>
      <c r="G40" s="18" t="str">
        <f aca="false">IF(D40&lt;=$G$3,"Terminé",IF(C40&gt;$G$3,"Prévu","En cours"))</f>
        <v>Terminé</v>
      </c>
      <c r="H40" s="18" t="s">
        <v>6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</row>
    <row r="41" customFormat="false" ht="16.5" hidden="false" customHeight="true" outlineLevel="0" collapsed="false">
      <c r="A41" s="23" t="s">
        <v>100</v>
      </c>
      <c r="B41" s="24" t="s">
        <v>101</v>
      </c>
      <c r="C41" s="25" t="n">
        <v>46266</v>
      </c>
      <c r="D41" s="25" t="n">
        <v>46277</v>
      </c>
      <c r="E41" s="23" t="n">
        <f aca="false">D41-C41+1</f>
        <v>12</v>
      </c>
      <c r="F41" s="26" t="n">
        <f aca="false">MAX(0,MIN(1,($G$3-C41+1)/(D41-C41+1)))</f>
        <v>1</v>
      </c>
      <c r="G41" s="23" t="str">
        <f aca="false">IF(D41&lt;=$G$3,"Terminé",IF(C41&gt;$G$3,"Prévu","En cours"))</f>
        <v>Terminé</v>
      </c>
      <c r="H41" s="23" t="s">
        <v>32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</row>
    <row r="42" customFormat="false" ht="16.5" hidden="false" customHeight="true" outlineLevel="0" collapsed="false">
      <c r="A42" s="23" t="s">
        <v>102</v>
      </c>
      <c r="B42" s="24" t="s">
        <v>103</v>
      </c>
      <c r="C42" s="25" t="n">
        <v>46275</v>
      </c>
      <c r="D42" s="25" t="n">
        <v>46286</v>
      </c>
      <c r="E42" s="23" t="n">
        <f aca="false">D42-C42+1</f>
        <v>12</v>
      </c>
      <c r="F42" s="26" t="n">
        <f aca="false">MAX(0,MIN(1,($G$3-C42+1)/(D42-C42+1)))</f>
        <v>1</v>
      </c>
      <c r="G42" s="23" t="str">
        <f aca="false">IF(D42&lt;=$G$3,"Terminé",IF(C42&gt;$G$3,"Prévu","En cours"))</f>
        <v>Terminé</v>
      </c>
      <c r="H42" s="23" t="s">
        <v>32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</row>
    <row r="43" customFormat="false" ht="16.5" hidden="false" customHeight="true" outlineLevel="0" collapsed="false">
      <c r="A43" s="28" t="s">
        <v>104</v>
      </c>
      <c r="B43" s="29" t="s">
        <v>105</v>
      </c>
      <c r="C43" s="30" t="n">
        <v>46286</v>
      </c>
      <c r="D43" s="30" t="n">
        <v>46286</v>
      </c>
      <c r="E43" s="28" t="n">
        <f aca="false">D43-C43+1</f>
        <v>1</v>
      </c>
      <c r="F43" s="31" t="n">
        <f aca="false">MAX(0,MIN(1,($G$3-C43+1)/(D43-C43+1)))</f>
        <v>1</v>
      </c>
      <c r="G43" s="28" t="str">
        <f aca="false">IF(D43&lt;=$G$3,"Terminé",IF(C43&gt;$G$3,"Prévu","En cours"))</f>
        <v>Terminé</v>
      </c>
      <c r="H43" s="28" t="s">
        <v>41</v>
      </c>
      <c r="I43" s="32" t="str">
        <f aca="false">IF(AND(I$5&lt;=$C43,I$5+6&gt;=$C43),"◆","")</f>
        <v/>
      </c>
      <c r="J43" s="32" t="str">
        <f aca="false">IF(AND(J$5&lt;=$C43,J$5+6&gt;=$C43),"◆","")</f>
        <v/>
      </c>
      <c r="K43" s="32" t="str">
        <f aca="false">IF(AND(K$5&lt;=$C43,K$5+6&gt;=$C43),"◆","")</f>
        <v/>
      </c>
      <c r="L43" s="32" t="str">
        <f aca="false">IF(AND(L$5&lt;=$C43,L$5+6&gt;=$C43),"◆","")</f>
        <v/>
      </c>
      <c r="M43" s="32" t="str">
        <f aca="false">IF(AND(M$5&lt;=$C43,M$5+6&gt;=$C43),"◆","")</f>
        <v/>
      </c>
      <c r="N43" s="32" t="str">
        <f aca="false">IF(AND(N$5&lt;=$C43,N$5+6&gt;=$C43),"◆","")</f>
        <v/>
      </c>
      <c r="O43" s="32" t="str">
        <f aca="false">IF(AND(O$5&lt;=$C43,O$5+6&gt;=$C43),"◆","")</f>
        <v/>
      </c>
      <c r="P43" s="32" t="str">
        <f aca="false">IF(AND(P$5&lt;=$C43,P$5+6&gt;=$C43),"◆","")</f>
        <v/>
      </c>
      <c r="Q43" s="32" t="str">
        <f aca="false">IF(AND(Q$5&lt;=$C43,Q$5+6&gt;=$C43),"◆","")</f>
        <v/>
      </c>
      <c r="R43" s="32" t="str">
        <f aca="false">IF(AND(R$5&lt;=$C43,R$5+6&gt;=$C43),"◆","")</f>
        <v/>
      </c>
      <c r="S43" s="32" t="str">
        <f aca="false">IF(AND(S$5&lt;=$C43,S$5+6&gt;=$C43),"◆","")</f>
        <v/>
      </c>
      <c r="T43" s="32" t="str">
        <f aca="false">IF(AND(T$5&lt;=$C43,T$5+6&gt;=$C43),"◆","")</f>
        <v/>
      </c>
      <c r="U43" s="32" t="str">
        <f aca="false">IF(AND(U$5&lt;=$C43,U$5+6&gt;=$C43),"◆","")</f>
        <v/>
      </c>
      <c r="V43" s="32" t="str">
        <f aca="false">IF(AND(V$5&lt;=$C43,V$5+6&gt;=$C43),"◆","")</f>
        <v/>
      </c>
      <c r="W43" s="32" t="str">
        <f aca="false">IF(AND(W$5&lt;=$C43,W$5+6&gt;=$C43),"◆","")</f>
        <v/>
      </c>
      <c r="X43" s="32" t="str">
        <f aca="false">IF(AND(X$5&lt;=$C43,X$5+6&gt;=$C43),"◆","")</f>
        <v/>
      </c>
      <c r="Y43" s="32" t="str">
        <f aca="false">IF(AND(Y$5&lt;=$C43,Y$5+6&gt;=$C43),"◆","")</f>
        <v/>
      </c>
      <c r="Z43" s="32" t="str">
        <f aca="false">IF(AND(Z$5&lt;=$C43,Z$5+6&gt;=$C43),"◆","")</f>
        <v/>
      </c>
      <c r="AA43" s="32" t="str">
        <f aca="false">IF(AND(AA$5&lt;=$C43,AA$5+6&gt;=$C43),"◆","")</f>
        <v/>
      </c>
      <c r="AB43" s="32" t="str">
        <f aca="false">IF(AND(AB$5&lt;=$C43,AB$5+6&gt;=$C43),"◆","")</f>
        <v/>
      </c>
      <c r="AC43" s="32" t="str">
        <f aca="false">IF(AND(AC$5&lt;=$C43,AC$5+6&gt;=$C43),"◆","")</f>
        <v/>
      </c>
      <c r="AD43" s="32" t="str">
        <f aca="false">IF(AND(AD$5&lt;=$C43,AD$5+6&gt;=$C43),"◆","")</f>
        <v>◆</v>
      </c>
      <c r="AE43" s="32" t="str">
        <f aca="false">IF(AND(AE$5&lt;=$C43,AE$5+6&gt;=$C43),"◆","")</f>
        <v/>
      </c>
      <c r="AF43" s="32" t="str">
        <f aca="false">IF(AND(AF$5&lt;=$C43,AF$5+6&gt;=$C43),"◆","")</f>
        <v/>
      </c>
      <c r="AG43" s="32" t="str">
        <f aca="false">IF(AND(AG$5&lt;=$C43,AG$5+6&gt;=$C43),"◆","")</f>
        <v/>
      </c>
      <c r="AH43" s="32" t="str">
        <f aca="false">IF(AND(AH$5&lt;=$C43,AH$5+6&gt;=$C43),"◆","")</f>
        <v/>
      </c>
      <c r="AI43" s="32" t="str">
        <f aca="false">IF(AND(AI$5&lt;=$C43,AI$5+6&gt;=$C43),"◆","")</f>
        <v/>
      </c>
    </row>
    <row r="44" customFormat="false" ht="18.75" hidden="false" customHeight="true" outlineLevel="0" collapsed="false">
      <c r="A44" s="18" t="s">
        <v>106</v>
      </c>
      <c r="B44" s="19" t="s">
        <v>107</v>
      </c>
      <c r="C44" s="20" t="n">
        <f aca="false">MIN(C45:C49)</f>
        <v>46216</v>
      </c>
      <c r="D44" s="20" t="n">
        <f aca="false">MAX(D45:D49)</f>
        <v>46322</v>
      </c>
      <c r="E44" s="18" t="n">
        <f aca="false">D44-C44+1</f>
        <v>107</v>
      </c>
      <c r="F44" s="21" t="n">
        <f aca="false">MAX(0,MIN(1,($G$3-C44+1)/(D44-C44+1)))</f>
        <v>0.728971962616822</v>
      </c>
      <c r="G44" s="18" t="str">
        <f aca="false">IF(D44&lt;=$G$3,"Terminé",IF(C44&gt;$G$3,"Prévu","En cours"))</f>
        <v>En cours</v>
      </c>
      <c r="H44" s="18" t="s">
        <v>6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</row>
    <row r="45" customFormat="false" ht="16.5" hidden="false" customHeight="true" outlineLevel="0" collapsed="false">
      <c r="A45" s="23" t="s">
        <v>108</v>
      </c>
      <c r="B45" s="24" t="s">
        <v>109</v>
      </c>
      <c r="C45" s="25" t="n">
        <v>46216</v>
      </c>
      <c r="D45" s="25" t="n">
        <v>46292</v>
      </c>
      <c r="E45" s="23" t="n">
        <f aca="false">D45-C45+1</f>
        <v>77</v>
      </c>
      <c r="F45" s="26" t="n">
        <f aca="false">MAX(0,MIN(1,($G$3-C45+1)/(D45-C45+1)))</f>
        <v>1</v>
      </c>
      <c r="G45" s="23" t="str">
        <f aca="false">IF(D45&lt;=$G$3,"Terminé",IF(C45&gt;$G$3,"Prévu","En cours"))</f>
        <v>Terminé</v>
      </c>
      <c r="H45" s="23" t="s">
        <v>32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</row>
    <row r="46" customFormat="false" ht="16.5" hidden="false" customHeight="true" outlineLevel="0" collapsed="false">
      <c r="A46" s="23" t="s">
        <v>110</v>
      </c>
      <c r="B46" s="24" t="s">
        <v>111</v>
      </c>
      <c r="C46" s="25" t="n">
        <v>46278</v>
      </c>
      <c r="D46" s="25" t="n">
        <v>46293</v>
      </c>
      <c r="E46" s="23" t="n">
        <f aca="false">D46-C46+1</f>
        <v>16</v>
      </c>
      <c r="F46" s="26" t="n">
        <f aca="false">MAX(0,MIN(1,($G$3-C46+1)/(D46-C46+1)))</f>
        <v>1</v>
      </c>
      <c r="G46" s="23" t="str">
        <f aca="false">IF(D46&lt;=$G$3,"Terminé",IF(C46&gt;$G$3,"Prévu","En cours"))</f>
        <v>Terminé</v>
      </c>
      <c r="H46" s="23" t="s">
        <v>32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</row>
    <row r="47" customFormat="false" ht="16.5" hidden="false" customHeight="true" outlineLevel="0" collapsed="false">
      <c r="A47" s="23" t="s">
        <v>112</v>
      </c>
      <c r="B47" s="24" t="s">
        <v>113</v>
      </c>
      <c r="C47" s="25" t="n">
        <v>46293</v>
      </c>
      <c r="D47" s="25" t="n">
        <v>46315</v>
      </c>
      <c r="E47" s="23" t="n">
        <f aca="false">D47-C47+1</f>
        <v>23</v>
      </c>
      <c r="F47" s="26" t="n">
        <f aca="false">MAX(0,MIN(1,($G$3-C47+1)/(D47-C47+1)))</f>
        <v>0.0434782608695652</v>
      </c>
      <c r="G47" s="23" t="str">
        <f aca="false">IF(D47&lt;=$G$3,"Terminé",IF(C47&gt;$G$3,"Prévu","En cours"))</f>
        <v>En cours</v>
      </c>
      <c r="H47" s="23" t="s">
        <v>32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</row>
    <row r="48" customFormat="false" ht="16.5" hidden="false" customHeight="true" outlineLevel="0" collapsed="false">
      <c r="A48" s="23" t="s">
        <v>114</v>
      </c>
      <c r="B48" s="24" t="s">
        <v>115</v>
      </c>
      <c r="C48" s="25" t="n">
        <v>46286</v>
      </c>
      <c r="D48" s="25" t="n">
        <v>46322</v>
      </c>
      <c r="E48" s="23" t="n">
        <f aca="false">D48-C48+1</f>
        <v>37</v>
      </c>
      <c r="F48" s="26" t="n">
        <f aca="false">MAX(0,MIN(1,($G$3-C48+1)/(D48-C48+1)))</f>
        <v>0.216216216216216</v>
      </c>
      <c r="G48" s="23" t="str">
        <f aca="false">IF(D48&lt;=$G$3,"Terminé",IF(C48&gt;$G$3,"Prévu","En cours"))</f>
        <v>En cours</v>
      </c>
      <c r="H48" s="23" t="s">
        <v>32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</row>
    <row r="49" customFormat="false" ht="16.5" hidden="false" customHeight="true" outlineLevel="0" collapsed="false">
      <c r="A49" s="28" t="s">
        <v>116</v>
      </c>
      <c r="B49" s="29" t="s">
        <v>9</v>
      </c>
      <c r="C49" s="30" t="n">
        <v>46322</v>
      </c>
      <c r="D49" s="30" t="n">
        <v>46322</v>
      </c>
      <c r="E49" s="28" t="n">
        <f aca="false">D49-C49+1</f>
        <v>1</v>
      </c>
      <c r="F49" s="31" t="n">
        <f aca="false">MAX(0,MIN(1,($G$3-C49+1)/(D49-C49+1)))</f>
        <v>0</v>
      </c>
      <c r="G49" s="28" t="str">
        <f aca="false">IF(D49&lt;=$G$3,"Terminé",IF(C49&gt;$G$3,"Prévu","En cours"))</f>
        <v>Prévu</v>
      </c>
      <c r="H49" s="28" t="s">
        <v>41</v>
      </c>
      <c r="I49" s="32" t="str">
        <f aca="false">IF(AND(I$5&lt;=$C49,I$5+6&gt;=$C49),"◆","")</f>
        <v/>
      </c>
      <c r="J49" s="32" t="str">
        <f aca="false">IF(AND(J$5&lt;=$C49,J$5+6&gt;=$C49),"◆","")</f>
        <v/>
      </c>
      <c r="K49" s="32" t="str">
        <f aca="false">IF(AND(K$5&lt;=$C49,K$5+6&gt;=$C49),"◆","")</f>
        <v/>
      </c>
      <c r="L49" s="32" t="str">
        <f aca="false">IF(AND(L$5&lt;=$C49,L$5+6&gt;=$C49),"◆","")</f>
        <v/>
      </c>
      <c r="M49" s="32" t="str">
        <f aca="false">IF(AND(M$5&lt;=$C49,M$5+6&gt;=$C49),"◆","")</f>
        <v/>
      </c>
      <c r="N49" s="32" t="str">
        <f aca="false">IF(AND(N$5&lt;=$C49,N$5+6&gt;=$C49),"◆","")</f>
        <v/>
      </c>
      <c r="O49" s="32" t="str">
        <f aca="false">IF(AND(O$5&lt;=$C49,O$5+6&gt;=$C49),"◆","")</f>
        <v/>
      </c>
      <c r="P49" s="32" t="str">
        <f aca="false">IF(AND(P$5&lt;=$C49,P$5+6&gt;=$C49),"◆","")</f>
        <v/>
      </c>
      <c r="Q49" s="32" t="str">
        <f aca="false">IF(AND(Q$5&lt;=$C49,Q$5+6&gt;=$C49),"◆","")</f>
        <v/>
      </c>
      <c r="R49" s="32" t="str">
        <f aca="false">IF(AND(R$5&lt;=$C49,R$5+6&gt;=$C49),"◆","")</f>
        <v/>
      </c>
      <c r="S49" s="32" t="str">
        <f aca="false">IF(AND(S$5&lt;=$C49,S$5+6&gt;=$C49),"◆","")</f>
        <v/>
      </c>
      <c r="T49" s="32" t="str">
        <f aca="false">IF(AND(T$5&lt;=$C49,T$5+6&gt;=$C49),"◆","")</f>
        <v/>
      </c>
      <c r="U49" s="32" t="str">
        <f aca="false">IF(AND(U$5&lt;=$C49,U$5+6&gt;=$C49),"◆","")</f>
        <v/>
      </c>
      <c r="V49" s="32" t="str">
        <f aca="false">IF(AND(V$5&lt;=$C49,V$5+6&gt;=$C49),"◆","")</f>
        <v/>
      </c>
      <c r="W49" s="32" t="str">
        <f aca="false">IF(AND(W$5&lt;=$C49,W$5+6&gt;=$C49),"◆","")</f>
        <v/>
      </c>
      <c r="X49" s="32" t="str">
        <f aca="false">IF(AND(X$5&lt;=$C49,X$5+6&gt;=$C49),"◆","")</f>
        <v/>
      </c>
      <c r="Y49" s="32" t="str">
        <f aca="false">IF(AND(Y$5&lt;=$C49,Y$5+6&gt;=$C49),"◆","")</f>
        <v/>
      </c>
      <c r="Z49" s="32" t="str">
        <f aca="false">IF(AND(Z$5&lt;=$C49,Z$5+6&gt;=$C49),"◆","")</f>
        <v/>
      </c>
      <c r="AA49" s="32" t="str">
        <f aca="false">IF(AND(AA$5&lt;=$C49,AA$5+6&gt;=$C49),"◆","")</f>
        <v/>
      </c>
      <c r="AB49" s="32" t="str">
        <f aca="false">IF(AND(AB$5&lt;=$C49,AB$5+6&gt;=$C49),"◆","")</f>
        <v/>
      </c>
      <c r="AC49" s="32" t="str">
        <f aca="false">IF(AND(AC$5&lt;=$C49,AC$5+6&gt;=$C49),"◆","")</f>
        <v/>
      </c>
      <c r="AD49" s="32" t="str">
        <f aca="false">IF(AND(AD$5&lt;=$C49,AD$5+6&gt;=$C49),"◆","")</f>
        <v/>
      </c>
      <c r="AE49" s="32" t="str">
        <f aca="false">IF(AND(AE$5&lt;=$C49,AE$5+6&gt;=$C49),"◆","")</f>
        <v/>
      </c>
      <c r="AF49" s="32" t="str">
        <f aca="false">IF(AND(AF$5&lt;=$C49,AF$5+6&gt;=$C49),"◆","")</f>
        <v/>
      </c>
      <c r="AG49" s="32" t="str">
        <f aca="false">IF(AND(AG$5&lt;=$C49,AG$5+6&gt;=$C49),"◆","")</f>
        <v/>
      </c>
      <c r="AH49" s="32" t="str">
        <f aca="false">IF(AND(AH$5&lt;=$C49,AH$5+6&gt;=$C49),"◆","")</f>
        <v/>
      </c>
      <c r="AI49" s="32" t="str">
        <f aca="false">IF(AND(AI$5&lt;=$C49,AI$5+6&gt;=$C49),"◆","")</f>
        <v>◆</v>
      </c>
    </row>
    <row r="51" customFormat="false" ht="15" hidden="false" customHeight="false" outlineLevel="0" collapsed="false">
      <c r="B51" s="33" t="s">
        <v>117</v>
      </c>
      <c r="C51" s="34" t="n">
        <f aca="false">$G$3</f>
        <v>46293</v>
      </c>
    </row>
    <row r="52" customFormat="false" ht="15" hidden="false" customHeight="false" outlineLevel="0" collapsed="false">
      <c r="B52" s="35" t="s">
        <v>118</v>
      </c>
      <c r="C52" s="36" t="n">
        <f aca="false">COUNTIFS($H$6:$H$49,"Tâche",$G$6:$G$49,"Terminé")</f>
        <v>31</v>
      </c>
    </row>
    <row r="53" customFormat="false" ht="15" hidden="false" customHeight="false" outlineLevel="0" collapsed="false">
      <c r="B53" s="35" t="s">
        <v>119</v>
      </c>
      <c r="C53" s="36" t="n">
        <f aca="false">COUNTIFS($H$6:$H$49,"Tâche",$G$6:$G$49,"En cours")</f>
        <v>2</v>
      </c>
    </row>
    <row r="54" customFormat="false" ht="15" hidden="false" customHeight="false" outlineLevel="0" collapsed="false">
      <c r="B54" s="35" t="s">
        <v>120</v>
      </c>
      <c r="C54" s="36" t="n">
        <f aca="false">COUNTIFS($H$6:$H$49,"Tâche",$G$6:$G$49,"Prévu")</f>
        <v>0</v>
      </c>
    </row>
    <row r="55" customFormat="false" ht="15" hidden="false" customHeight="false" outlineLevel="0" collapsed="false">
      <c r="B55" s="35" t="s">
        <v>121</v>
      </c>
      <c r="C55" s="36" t="n">
        <f aca="false">COUNTIF($H$6:$H$49,"Tâche")</f>
        <v>33</v>
      </c>
    </row>
    <row r="56" customFormat="false" ht="15" hidden="false" customHeight="false" outlineLevel="0" collapsed="false">
      <c r="B56" s="35" t="s">
        <v>122</v>
      </c>
      <c r="C56" s="37" t="n">
        <f aca="false">MAX(0,MIN(1,($G$3-$G$1)/($G$2-$G$1)))</f>
        <v>0.841530054644809</v>
      </c>
    </row>
    <row r="58" customFormat="false" ht="30" hidden="false" customHeight="true" outlineLevel="0" collapsed="false">
      <c r="B58" s="38" t="s">
        <v>123</v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</sheetData>
  <mergeCells count="12">
    <mergeCell ref="L1:N1"/>
    <mergeCell ref="P1:R1"/>
    <mergeCell ref="T1:V1"/>
    <mergeCell ref="X1:Z1"/>
    <mergeCell ref="AB1:AD1"/>
    <mergeCell ref="J4:M4"/>
    <mergeCell ref="N4:R4"/>
    <mergeCell ref="S4:V4"/>
    <mergeCell ref="W4:AA4"/>
    <mergeCell ref="AB4:AE4"/>
    <mergeCell ref="AF4:AI4"/>
    <mergeCell ref="B58:U58"/>
  </mergeCells>
  <conditionalFormatting sqref="I6:AI49">
    <cfRule type="expression" priority="2" aboveAverage="0" equalAverage="0" bottom="0" percent="0" rank="0" text="" dxfId="0">
      <formula>AND(I$5&lt;=$D6,I$5+6&gt;=$C6,$H6="Phase")</formula>
    </cfRule>
    <cfRule type="expression" priority="3" aboveAverage="0" equalAverage="0" bottom="0" percent="0" rank="0" text="" dxfId="1">
      <formula>AND(I$5&lt;=$D6,I$5+6&gt;=$C6,$H6="Tâche",$G6="Terminé")</formula>
    </cfRule>
    <cfRule type="expression" priority="4" aboveAverage="0" equalAverage="0" bottom="0" percent="0" rank="0" text="" dxfId="2">
      <formula>AND(I$5&lt;=$D6,I$5+6&gt;=$C6,$H6="Tâche",$G6="En cours")</formula>
    </cfRule>
    <cfRule type="expression" priority="5" aboveAverage="0" equalAverage="0" bottom="0" percent="0" rank="0" text="" dxfId="3">
      <formula>AND(I$5&lt;=$D6,I$5+6&gt;=$C6,$H6="Tâche",$G6="Prévu")</formula>
    </cfRule>
  </conditionalFormatting>
  <conditionalFormatting sqref="I5:AI49">
    <cfRule type="expression" priority="6" aboveAverage="0" equalAverage="0" bottom="0" percent="0" rank="0" text="" dxfId="4">
      <formula>AND(I$5&lt;=$G$3,I$5+6&gt;=$G$3)</formula>
    </cfRule>
  </conditionalFormatting>
  <conditionalFormatting sqref="G6:G49">
    <cfRule type="expression" priority="7" aboveAverage="0" equalAverage="0" bottom="0" percent="0" rank="0" text="" dxfId="5">
      <formula>AND($G6="Terminé",$H6&lt;&gt;"Phase")</formula>
    </cfRule>
    <cfRule type="expression" priority="8" aboveAverage="0" equalAverage="0" bottom="0" percent="0" rank="0" text="" dxfId="6">
      <formula>AND($G6="En cours",$H6&lt;&gt;"Phase")</formula>
    </cfRule>
    <cfRule type="expression" priority="9" aboveAverage="0" equalAverage="0" bottom="0" percent="0" rank="0" text="" dxfId="7">
      <formula>AND($G6="Prévu",$H6&lt;&gt;"Phase")</formula>
    </cfRule>
  </conditionalFormatting>
  <dataValidations count="1">
    <dataValidation allowBlank="false" error="Saisissez une date au format jj/mm/aaaa." errorStyle="stop" errorTitle="Date invalide" operator="between" showDropDown="false" showErrorMessage="true" showInputMessage="false" sqref="C6:D49" type="date">
      <formula1>DATE(2026,1,1)</formula1>
      <formula2>DATE(2027,12,31)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70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39" t="s">
        <v>124</v>
      </c>
    </row>
    <row r="3" customFormat="false" ht="15" hidden="false" customHeight="false" outlineLevel="0" collapsed="false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26</v>
      </c>
      <c r="F3" s="40" t="s">
        <v>125</v>
      </c>
      <c r="G3" s="40" t="s">
        <v>126</v>
      </c>
    </row>
    <row r="4" customFormat="false" ht="15" hidden="false" customHeight="false" outlineLevel="0" collapsed="false">
      <c r="A4" s="41" t="s">
        <v>28</v>
      </c>
      <c r="B4" s="41" t="s">
        <v>29</v>
      </c>
      <c r="C4" s="41"/>
      <c r="D4" s="41"/>
      <c r="E4" s="41"/>
      <c r="F4" s="41"/>
      <c r="G4" s="41"/>
    </row>
    <row r="5" customFormat="false" ht="22.35" hidden="false" customHeight="false" outlineLevel="0" collapsed="false">
      <c r="A5" s="42" t="s">
        <v>30</v>
      </c>
      <c r="B5" s="43" t="s">
        <v>127</v>
      </c>
      <c r="C5" s="44" t="n">
        <f aca="false">Gantt!C7</f>
        <v>46139</v>
      </c>
      <c r="D5" s="44" t="n">
        <f aca="false">Gantt!D7</f>
        <v>46152</v>
      </c>
      <c r="E5" s="45" t="str">
        <f aca="false">Gantt!G7</f>
        <v>Terminé</v>
      </c>
      <c r="F5" s="43" t="s">
        <v>128</v>
      </c>
      <c r="G5" s="43" t="s">
        <v>129</v>
      </c>
    </row>
    <row r="6" customFormat="false" ht="22.35" hidden="false" customHeight="false" outlineLevel="0" collapsed="false">
      <c r="A6" s="42" t="s">
        <v>33</v>
      </c>
      <c r="B6" s="43" t="s">
        <v>130</v>
      </c>
      <c r="C6" s="44" t="n">
        <f aca="false">Gantt!C8</f>
        <v>46146</v>
      </c>
      <c r="D6" s="44" t="n">
        <f aca="false">Gantt!D8</f>
        <v>46166</v>
      </c>
      <c r="E6" s="45" t="str">
        <f aca="false">Gantt!G8</f>
        <v>Terminé</v>
      </c>
      <c r="F6" s="43" t="s">
        <v>131</v>
      </c>
      <c r="G6" s="43" t="s">
        <v>132</v>
      </c>
    </row>
    <row r="7" customFormat="false" ht="22.35" hidden="false" customHeight="false" outlineLevel="0" collapsed="false">
      <c r="A7" s="42" t="s">
        <v>35</v>
      </c>
      <c r="B7" s="43" t="s">
        <v>133</v>
      </c>
      <c r="C7" s="44" t="n">
        <f aca="false">Gantt!C9</f>
        <v>46160</v>
      </c>
      <c r="D7" s="44" t="n">
        <f aca="false">Gantt!D9</f>
        <v>46176</v>
      </c>
      <c r="E7" s="45" t="str">
        <f aca="false">Gantt!G9</f>
        <v>Terminé</v>
      </c>
      <c r="F7" s="43" t="s">
        <v>134</v>
      </c>
      <c r="G7" s="43" t="s">
        <v>135</v>
      </c>
    </row>
    <row r="8" customFormat="false" ht="22.35" hidden="false" customHeight="false" outlineLevel="0" collapsed="false">
      <c r="A8" s="42" t="s">
        <v>37</v>
      </c>
      <c r="B8" s="43" t="s">
        <v>136</v>
      </c>
      <c r="C8" s="44" t="n">
        <f aca="false">Gantt!C10</f>
        <v>46167</v>
      </c>
      <c r="D8" s="44" t="n">
        <f aca="false">Gantt!D10</f>
        <v>46175</v>
      </c>
      <c r="E8" s="45" t="str">
        <f aca="false">Gantt!G10</f>
        <v>Terminé</v>
      </c>
      <c r="F8" s="43" t="s">
        <v>137</v>
      </c>
      <c r="G8" s="43" t="s">
        <v>138</v>
      </c>
    </row>
    <row r="9" customFormat="false" ht="15" hidden="false" customHeight="false" outlineLevel="0" collapsed="false">
      <c r="A9" s="42" t="s">
        <v>39</v>
      </c>
      <c r="B9" s="46" t="s">
        <v>40</v>
      </c>
      <c r="C9" s="44" t="n">
        <f aca="false">Gantt!C11</f>
        <v>46176</v>
      </c>
      <c r="D9" s="44" t="n">
        <f aca="false">Gantt!D11</f>
        <v>46176</v>
      </c>
      <c r="E9" s="45" t="str">
        <f aca="false">Gantt!G11</f>
        <v>Terminé</v>
      </c>
      <c r="F9" s="43" t="s">
        <v>139</v>
      </c>
      <c r="G9" s="43" t="s">
        <v>140</v>
      </c>
    </row>
    <row r="10" customFormat="false" ht="15" hidden="false" customHeight="false" outlineLevel="0" collapsed="false">
      <c r="A10" s="41" t="s">
        <v>42</v>
      </c>
      <c r="B10" s="41" t="s">
        <v>43</v>
      </c>
      <c r="C10" s="41"/>
      <c r="D10" s="41"/>
      <c r="E10" s="41"/>
      <c r="F10" s="41"/>
      <c r="G10" s="41"/>
    </row>
    <row r="11" customFormat="false" ht="22.35" hidden="false" customHeight="false" outlineLevel="0" collapsed="false">
      <c r="A11" s="42" t="s">
        <v>44</v>
      </c>
      <c r="B11" s="43" t="s">
        <v>141</v>
      </c>
      <c r="C11" s="44" t="n">
        <f aca="false">Gantt!C13</f>
        <v>46169</v>
      </c>
      <c r="D11" s="44" t="n">
        <f aca="false">Gantt!D13</f>
        <v>46185</v>
      </c>
      <c r="E11" s="45" t="str">
        <f aca="false">Gantt!G13</f>
        <v>Terminé</v>
      </c>
      <c r="F11" s="43" t="s">
        <v>142</v>
      </c>
      <c r="G11" s="43" t="s">
        <v>143</v>
      </c>
    </row>
    <row r="12" customFormat="false" ht="15" hidden="false" customHeight="false" outlineLevel="0" collapsed="false">
      <c r="A12" s="42" t="s">
        <v>46</v>
      </c>
      <c r="B12" s="43" t="s">
        <v>144</v>
      </c>
      <c r="C12" s="44" t="n">
        <f aca="false">Gantt!C14</f>
        <v>46174</v>
      </c>
      <c r="D12" s="44" t="n">
        <f aca="false">Gantt!D14</f>
        <v>46180</v>
      </c>
      <c r="E12" s="45" t="str">
        <f aca="false">Gantt!G14</f>
        <v>Terminé</v>
      </c>
      <c r="F12" s="43" t="s">
        <v>145</v>
      </c>
      <c r="G12" s="43" t="s">
        <v>146</v>
      </c>
    </row>
    <row r="13" customFormat="false" ht="22.35" hidden="false" customHeight="false" outlineLevel="0" collapsed="false">
      <c r="A13" s="42" t="s">
        <v>48</v>
      </c>
      <c r="B13" s="43" t="s">
        <v>147</v>
      </c>
      <c r="C13" s="44" t="n">
        <f aca="false">Gantt!C15</f>
        <v>46181</v>
      </c>
      <c r="D13" s="44" t="n">
        <f aca="false">Gantt!D15</f>
        <v>46199</v>
      </c>
      <c r="E13" s="45" t="str">
        <f aca="false">Gantt!G15</f>
        <v>Terminé</v>
      </c>
      <c r="F13" s="43" t="s">
        <v>148</v>
      </c>
      <c r="G13" s="43" t="s">
        <v>149</v>
      </c>
    </row>
    <row r="14" customFormat="false" ht="15" hidden="false" customHeight="false" outlineLevel="0" collapsed="false">
      <c r="A14" s="41" t="s">
        <v>50</v>
      </c>
      <c r="B14" s="41" t="s">
        <v>51</v>
      </c>
      <c r="C14" s="41"/>
      <c r="D14" s="41"/>
      <c r="E14" s="41"/>
      <c r="F14" s="41"/>
      <c r="G14" s="41"/>
    </row>
    <row r="15" customFormat="false" ht="15" hidden="false" customHeight="false" outlineLevel="0" collapsed="false">
      <c r="A15" s="42" t="s">
        <v>52</v>
      </c>
      <c r="B15" s="43" t="s">
        <v>150</v>
      </c>
      <c r="C15" s="44" t="n">
        <f aca="false">Gantt!C17</f>
        <v>46176</v>
      </c>
      <c r="D15" s="44" t="n">
        <f aca="false">Gantt!D17</f>
        <v>46185</v>
      </c>
      <c r="E15" s="45" t="str">
        <f aca="false">Gantt!G17</f>
        <v>Terminé</v>
      </c>
      <c r="F15" s="43" t="s">
        <v>151</v>
      </c>
      <c r="G15" s="43" t="s">
        <v>152</v>
      </c>
    </row>
    <row r="16" customFormat="false" ht="22.35" hidden="false" customHeight="false" outlineLevel="0" collapsed="false">
      <c r="A16" s="42" t="s">
        <v>54</v>
      </c>
      <c r="B16" s="43" t="s">
        <v>153</v>
      </c>
      <c r="C16" s="44" t="n">
        <f aca="false">Gantt!C18</f>
        <v>46188</v>
      </c>
      <c r="D16" s="44" t="n">
        <f aca="false">Gantt!D18</f>
        <v>46227</v>
      </c>
      <c r="E16" s="45" t="str">
        <f aca="false">Gantt!G18</f>
        <v>Terminé</v>
      </c>
      <c r="F16" s="43" t="s">
        <v>154</v>
      </c>
      <c r="G16" s="43" t="s">
        <v>155</v>
      </c>
    </row>
    <row r="17" customFormat="false" ht="15" hidden="false" customHeight="false" outlineLevel="0" collapsed="false">
      <c r="A17" s="42" t="s">
        <v>56</v>
      </c>
      <c r="B17" s="43" t="s">
        <v>156</v>
      </c>
      <c r="C17" s="44" t="n">
        <f aca="false">Gantt!C19</f>
        <v>46209</v>
      </c>
      <c r="D17" s="44" t="n">
        <f aca="false">Gantt!D19</f>
        <v>46232</v>
      </c>
      <c r="E17" s="45" t="str">
        <f aca="false">Gantt!G19</f>
        <v>Terminé</v>
      </c>
      <c r="F17" s="43" t="s">
        <v>157</v>
      </c>
      <c r="G17" s="43" t="s">
        <v>158</v>
      </c>
    </row>
    <row r="18" customFormat="false" ht="22.35" hidden="false" customHeight="false" outlineLevel="0" collapsed="false">
      <c r="A18" s="42" t="s">
        <v>58</v>
      </c>
      <c r="B18" s="43" t="s">
        <v>159</v>
      </c>
      <c r="C18" s="44" t="n">
        <f aca="false">Gantt!C20</f>
        <v>46266</v>
      </c>
      <c r="D18" s="44" t="n">
        <f aca="false">Gantt!D20</f>
        <v>46281</v>
      </c>
      <c r="E18" s="45" t="str">
        <f aca="false">Gantt!G20</f>
        <v>Terminé</v>
      </c>
      <c r="F18" s="43" t="s">
        <v>160</v>
      </c>
      <c r="G18" s="43" t="s">
        <v>161</v>
      </c>
    </row>
    <row r="19" customFormat="false" ht="22.35" hidden="false" customHeight="false" outlineLevel="0" collapsed="false">
      <c r="A19" s="42" t="s">
        <v>60</v>
      </c>
      <c r="B19" s="43" t="s">
        <v>162</v>
      </c>
      <c r="C19" s="44" t="n">
        <f aca="false">Gantt!C21</f>
        <v>46272</v>
      </c>
      <c r="D19" s="44" t="n">
        <f aca="false">Gantt!D21</f>
        <v>46283</v>
      </c>
      <c r="E19" s="45" t="str">
        <f aca="false">Gantt!G21</f>
        <v>Terminé</v>
      </c>
      <c r="F19" s="43" t="s">
        <v>163</v>
      </c>
      <c r="G19" s="43" t="s">
        <v>164</v>
      </c>
    </row>
    <row r="20" customFormat="false" ht="15" hidden="false" customHeight="false" outlineLevel="0" collapsed="false">
      <c r="A20" s="42" t="s">
        <v>62</v>
      </c>
      <c r="B20" s="43" t="s">
        <v>165</v>
      </c>
      <c r="C20" s="44" t="n">
        <f aca="false">Gantt!C22</f>
        <v>46273</v>
      </c>
      <c r="D20" s="44" t="n">
        <f aca="false">Gantt!D22</f>
        <v>46284</v>
      </c>
      <c r="E20" s="45" t="str">
        <f aca="false">Gantt!G22</f>
        <v>Terminé</v>
      </c>
      <c r="F20" s="43" t="s">
        <v>166</v>
      </c>
      <c r="G20" s="43" t="s">
        <v>167</v>
      </c>
    </row>
    <row r="21" customFormat="false" ht="22.35" hidden="false" customHeight="false" outlineLevel="0" collapsed="false">
      <c r="A21" s="42" t="s">
        <v>64</v>
      </c>
      <c r="B21" s="43" t="s">
        <v>168</v>
      </c>
      <c r="C21" s="44" t="n">
        <f aca="false">Gantt!C23</f>
        <v>46283</v>
      </c>
      <c r="D21" s="44" t="n">
        <f aca="false">Gantt!D23</f>
        <v>46292</v>
      </c>
      <c r="E21" s="45" t="str">
        <f aca="false">Gantt!G23</f>
        <v>Terminé</v>
      </c>
      <c r="F21" s="43" t="s">
        <v>169</v>
      </c>
      <c r="G21" s="43" t="s">
        <v>170</v>
      </c>
    </row>
    <row r="22" customFormat="false" ht="15" hidden="false" customHeight="false" outlineLevel="0" collapsed="false">
      <c r="A22" s="41" t="s">
        <v>66</v>
      </c>
      <c r="B22" s="41" t="s">
        <v>67</v>
      </c>
      <c r="C22" s="41"/>
      <c r="D22" s="41"/>
      <c r="E22" s="41"/>
      <c r="F22" s="41"/>
      <c r="G22" s="41"/>
    </row>
    <row r="23" customFormat="false" ht="15" hidden="false" customHeight="false" outlineLevel="0" collapsed="false">
      <c r="A23" s="42" t="s">
        <v>68</v>
      </c>
      <c r="B23" s="43" t="s">
        <v>171</v>
      </c>
      <c r="C23" s="44" t="n">
        <f aca="false">Gantt!C25</f>
        <v>46181</v>
      </c>
      <c r="D23" s="44" t="n">
        <f aca="false">Gantt!D25</f>
        <v>46185</v>
      </c>
      <c r="E23" s="45" t="str">
        <f aca="false">Gantt!G25</f>
        <v>Terminé</v>
      </c>
      <c r="F23" s="43" t="s">
        <v>172</v>
      </c>
      <c r="G23" s="43" t="s">
        <v>173</v>
      </c>
    </row>
    <row r="24" customFormat="false" ht="22.35" hidden="false" customHeight="false" outlineLevel="0" collapsed="false">
      <c r="A24" s="42" t="s">
        <v>70</v>
      </c>
      <c r="B24" s="43" t="s">
        <v>174</v>
      </c>
      <c r="C24" s="44" t="n">
        <f aca="false">Gantt!C26</f>
        <v>46202</v>
      </c>
      <c r="D24" s="44" t="n">
        <f aca="false">Gantt!D26</f>
        <v>46232</v>
      </c>
      <c r="E24" s="45" t="str">
        <f aca="false">Gantt!G26</f>
        <v>Terminé</v>
      </c>
      <c r="F24" s="43" t="s">
        <v>175</v>
      </c>
      <c r="G24" s="43" t="s">
        <v>176</v>
      </c>
    </row>
    <row r="25" customFormat="false" ht="22.35" hidden="false" customHeight="false" outlineLevel="0" collapsed="false">
      <c r="A25" s="42" t="s">
        <v>72</v>
      </c>
      <c r="B25" s="43" t="s">
        <v>177</v>
      </c>
      <c r="C25" s="44" t="n">
        <f aca="false">Gantt!C27</f>
        <v>46209</v>
      </c>
      <c r="D25" s="44" t="n">
        <f aca="false">Gantt!D27</f>
        <v>46232</v>
      </c>
      <c r="E25" s="45" t="str">
        <f aca="false">Gantt!G27</f>
        <v>Terminé</v>
      </c>
      <c r="F25" s="43" t="s">
        <v>178</v>
      </c>
      <c r="G25" s="43" t="s">
        <v>179</v>
      </c>
    </row>
    <row r="26" customFormat="false" ht="15" hidden="false" customHeight="false" outlineLevel="0" collapsed="false">
      <c r="A26" s="42" t="s">
        <v>74</v>
      </c>
      <c r="B26" s="43" t="s">
        <v>180</v>
      </c>
      <c r="C26" s="44" t="n">
        <f aca="false">Gantt!C28</f>
        <v>46216</v>
      </c>
      <c r="D26" s="44" t="n">
        <f aca="false">Gantt!D28</f>
        <v>46232</v>
      </c>
      <c r="E26" s="45" t="str">
        <f aca="false">Gantt!G28</f>
        <v>Terminé</v>
      </c>
      <c r="F26" s="43" t="s">
        <v>181</v>
      </c>
      <c r="G26" s="43" t="s">
        <v>182</v>
      </c>
    </row>
    <row r="27" customFormat="false" ht="22.35" hidden="false" customHeight="false" outlineLevel="0" collapsed="false">
      <c r="A27" s="42" t="s">
        <v>76</v>
      </c>
      <c r="B27" s="43" t="s">
        <v>183</v>
      </c>
      <c r="C27" s="44" t="n">
        <f aca="false">Gantt!C29</f>
        <v>46266</v>
      </c>
      <c r="D27" s="44" t="n">
        <f aca="false">Gantt!D29</f>
        <v>46280</v>
      </c>
      <c r="E27" s="45" t="str">
        <f aca="false">Gantt!G29</f>
        <v>Terminé</v>
      </c>
      <c r="F27" s="43" t="s">
        <v>184</v>
      </c>
      <c r="G27" s="43" t="s">
        <v>185</v>
      </c>
    </row>
    <row r="28" customFormat="false" ht="22.35" hidden="false" customHeight="false" outlineLevel="0" collapsed="false">
      <c r="A28" s="42" t="s">
        <v>78</v>
      </c>
      <c r="B28" s="43" t="s">
        <v>186</v>
      </c>
      <c r="C28" s="44" t="n">
        <f aca="false">Gantt!C30</f>
        <v>46282</v>
      </c>
      <c r="D28" s="44" t="n">
        <f aca="false">Gantt!D30</f>
        <v>46287</v>
      </c>
      <c r="E28" s="45" t="str">
        <f aca="false">Gantt!G30</f>
        <v>Terminé</v>
      </c>
      <c r="F28" s="43" t="s">
        <v>187</v>
      </c>
      <c r="G28" s="43" t="s">
        <v>188</v>
      </c>
    </row>
    <row r="29" customFormat="false" ht="15" hidden="false" customHeight="false" outlineLevel="0" collapsed="false">
      <c r="A29" s="41" t="s">
        <v>80</v>
      </c>
      <c r="B29" s="41" t="s">
        <v>81</v>
      </c>
      <c r="C29" s="41"/>
      <c r="D29" s="41"/>
      <c r="E29" s="41"/>
      <c r="F29" s="41"/>
      <c r="G29" s="41"/>
    </row>
    <row r="30" customFormat="false" ht="15" hidden="false" customHeight="false" outlineLevel="0" collapsed="false">
      <c r="A30" s="42" t="s">
        <v>82</v>
      </c>
      <c r="B30" s="43" t="s">
        <v>189</v>
      </c>
      <c r="C30" s="44" t="n">
        <f aca="false">Gantt!C32</f>
        <v>46188</v>
      </c>
      <c r="D30" s="44" t="n">
        <f aca="false">Gantt!D32</f>
        <v>46232</v>
      </c>
      <c r="E30" s="45" t="str">
        <f aca="false">Gantt!G32</f>
        <v>Terminé</v>
      </c>
      <c r="F30" s="43" t="s">
        <v>190</v>
      </c>
      <c r="G30" s="43" t="s">
        <v>191</v>
      </c>
    </row>
    <row r="31" customFormat="false" ht="22.35" hidden="false" customHeight="false" outlineLevel="0" collapsed="false">
      <c r="A31" s="42" t="s">
        <v>84</v>
      </c>
      <c r="B31" s="43" t="s">
        <v>192</v>
      </c>
      <c r="C31" s="44" t="n">
        <f aca="false">Gantt!C33</f>
        <v>46223</v>
      </c>
      <c r="D31" s="44" t="n">
        <f aca="false">Gantt!D33</f>
        <v>46265</v>
      </c>
      <c r="E31" s="45" t="str">
        <f aca="false">Gantt!G33</f>
        <v>Terminé</v>
      </c>
      <c r="F31" s="43" t="s">
        <v>193</v>
      </c>
      <c r="G31" s="43" t="s">
        <v>194</v>
      </c>
    </row>
    <row r="32" customFormat="false" ht="15" hidden="false" customHeight="false" outlineLevel="0" collapsed="false">
      <c r="A32" s="42" t="s">
        <v>86</v>
      </c>
      <c r="B32" s="43" t="s">
        <v>195</v>
      </c>
      <c r="C32" s="44" t="n">
        <f aca="false">Gantt!C34</f>
        <v>46244</v>
      </c>
      <c r="D32" s="44" t="n">
        <f aca="false">Gantt!D34</f>
        <v>46258</v>
      </c>
      <c r="E32" s="45" t="str">
        <f aca="false">Gantt!G34</f>
        <v>Terminé</v>
      </c>
      <c r="F32" s="43" t="s">
        <v>196</v>
      </c>
      <c r="G32" s="43" t="s">
        <v>197</v>
      </c>
    </row>
    <row r="33" customFormat="false" ht="22.35" hidden="false" customHeight="false" outlineLevel="0" collapsed="false">
      <c r="A33" s="42" t="s">
        <v>88</v>
      </c>
      <c r="B33" s="43" t="s">
        <v>198</v>
      </c>
      <c r="C33" s="44" t="n">
        <f aca="false">Gantt!C35</f>
        <v>46258</v>
      </c>
      <c r="D33" s="44" t="n">
        <f aca="false">Gantt!D35</f>
        <v>46269</v>
      </c>
      <c r="E33" s="45" t="str">
        <f aca="false">Gantt!G35</f>
        <v>Terminé</v>
      </c>
      <c r="F33" s="43" t="s">
        <v>199</v>
      </c>
      <c r="G33" s="43" t="s">
        <v>200</v>
      </c>
    </row>
    <row r="34" customFormat="false" ht="22.35" hidden="false" customHeight="false" outlineLevel="0" collapsed="false">
      <c r="A34" s="42" t="s">
        <v>90</v>
      </c>
      <c r="B34" s="43" t="s">
        <v>201</v>
      </c>
      <c r="C34" s="44" t="n">
        <f aca="false">Gantt!C36</f>
        <v>46266</v>
      </c>
      <c r="D34" s="44" t="n">
        <f aca="false">Gantt!D36</f>
        <v>46277</v>
      </c>
      <c r="E34" s="45" t="str">
        <f aca="false">Gantt!G36</f>
        <v>Terminé</v>
      </c>
      <c r="F34" s="43" t="s">
        <v>202</v>
      </c>
      <c r="G34" s="43" t="s">
        <v>203</v>
      </c>
    </row>
    <row r="35" customFormat="false" ht="15" hidden="false" customHeight="false" outlineLevel="0" collapsed="false">
      <c r="A35" s="42" t="s">
        <v>92</v>
      </c>
      <c r="B35" s="43" t="s">
        <v>204</v>
      </c>
      <c r="C35" s="44" t="n">
        <f aca="false">Gantt!C37</f>
        <v>46251</v>
      </c>
      <c r="D35" s="44" t="n">
        <f aca="false">Gantt!D37</f>
        <v>46270</v>
      </c>
      <c r="E35" s="45" t="str">
        <f aca="false">Gantt!G37</f>
        <v>Terminé</v>
      </c>
      <c r="F35" s="43" t="s">
        <v>205</v>
      </c>
      <c r="G35" s="43" t="s">
        <v>206</v>
      </c>
    </row>
    <row r="36" customFormat="false" ht="22.35" hidden="false" customHeight="false" outlineLevel="0" collapsed="false">
      <c r="A36" s="42" t="s">
        <v>94</v>
      </c>
      <c r="B36" s="43" t="s">
        <v>207</v>
      </c>
      <c r="C36" s="44" t="n">
        <f aca="false">Gantt!C38</f>
        <v>46230</v>
      </c>
      <c r="D36" s="44" t="n">
        <f aca="false">Gantt!D38</f>
        <v>46277</v>
      </c>
      <c r="E36" s="45" t="str">
        <f aca="false">Gantt!G38</f>
        <v>Terminé</v>
      </c>
      <c r="F36" s="43" t="s">
        <v>208</v>
      </c>
      <c r="G36" s="43" t="s">
        <v>209</v>
      </c>
    </row>
    <row r="37" customFormat="false" ht="15" hidden="false" customHeight="false" outlineLevel="0" collapsed="false">
      <c r="A37" s="42" t="s">
        <v>96</v>
      </c>
      <c r="B37" s="46" t="s">
        <v>97</v>
      </c>
      <c r="C37" s="44" t="n">
        <f aca="false">Gantt!C39</f>
        <v>46232</v>
      </c>
      <c r="D37" s="44" t="n">
        <f aca="false">Gantt!D39</f>
        <v>46232</v>
      </c>
      <c r="E37" s="45" t="str">
        <f aca="false">Gantt!G39</f>
        <v>Terminé</v>
      </c>
      <c r="F37" s="43" t="s">
        <v>210</v>
      </c>
      <c r="G37" s="43" t="s">
        <v>182</v>
      </c>
    </row>
    <row r="38" customFormat="false" ht="15" hidden="false" customHeight="false" outlineLevel="0" collapsed="false">
      <c r="A38" s="41" t="s">
        <v>98</v>
      </c>
      <c r="B38" s="41" t="s">
        <v>99</v>
      </c>
      <c r="C38" s="41"/>
      <c r="D38" s="41"/>
      <c r="E38" s="41"/>
      <c r="F38" s="41"/>
      <c r="G38" s="41"/>
    </row>
    <row r="39" customFormat="false" ht="22.35" hidden="false" customHeight="false" outlineLevel="0" collapsed="false">
      <c r="A39" s="42" t="s">
        <v>100</v>
      </c>
      <c r="B39" s="43" t="s">
        <v>211</v>
      </c>
      <c r="C39" s="44" t="n">
        <f aca="false">Gantt!C41</f>
        <v>46266</v>
      </c>
      <c r="D39" s="44" t="n">
        <f aca="false">Gantt!D41</f>
        <v>46277</v>
      </c>
      <c r="E39" s="45" t="str">
        <f aca="false">Gantt!G41</f>
        <v>Terminé</v>
      </c>
      <c r="F39" s="43" t="s">
        <v>212</v>
      </c>
      <c r="G39" s="43" t="s">
        <v>213</v>
      </c>
    </row>
    <row r="40" customFormat="false" ht="22.35" hidden="false" customHeight="false" outlineLevel="0" collapsed="false">
      <c r="A40" s="42" t="s">
        <v>102</v>
      </c>
      <c r="B40" s="43" t="s">
        <v>214</v>
      </c>
      <c r="C40" s="44" t="n">
        <f aca="false">Gantt!C42</f>
        <v>46275</v>
      </c>
      <c r="D40" s="44" t="n">
        <f aca="false">Gantt!D42</f>
        <v>46286</v>
      </c>
      <c r="E40" s="45" t="str">
        <f aca="false">Gantt!G42</f>
        <v>Terminé</v>
      </c>
      <c r="F40" s="43" t="s">
        <v>215</v>
      </c>
      <c r="G40" s="43" t="s">
        <v>216</v>
      </c>
    </row>
    <row r="41" customFormat="false" ht="15" hidden="false" customHeight="false" outlineLevel="0" collapsed="false">
      <c r="A41" s="42" t="s">
        <v>104</v>
      </c>
      <c r="B41" s="46" t="s">
        <v>105</v>
      </c>
      <c r="C41" s="44" t="n">
        <f aca="false">Gantt!C43</f>
        <v>46286</v>
      </c>
      <c r="D41" s="44" t="n">
        <f aca="false">Gantt!D43</f>
        <v>46286</v>
      </c>
      <c r="E41" s="45" t="str">
        <f aca="false">Gantt!G43</f>
        <v>Terminé</v>
      </c>
      <c r="F41" s="43" t="s">
        <v>217</v>
      </c>
      <c r="G41" s="43" t="s">
        <v>218</v>
      </c>
    </row>
    <row r="42" customFormat="false" ht="15" hidden="false" customHeight="false" outlineLevel="0" collapsed="false">
      <c r="A42" s="41" t="s">
        <v>106</v>
      </c>
      <c r="B42" s="41" t="s">
        <v>107</v>
      </c>
      <c r="C42" s="41"/>
      <c r="D42" s="41"/>
      <c r="E42" s="41"/>
      <c r="F42" s="41"/>
      <c r="G42" s="41"/>
    </row>
    <row r="43" customFormat="false" ht="15" hidden="false" customHeight="false" outlineLevel="0" collapsed="false">
      <c r="A43" s="42" t="s">
        <v>108</v>
      </c>
      <c r="B43" s="43" t="s">
        <v>219</v>
      </c>
      <c r="C43" s="44" t="n">
        <f aca="false">Gantt!C45</f>
        <v>46216</v>
      </c>
      <c r="D43" s="44" t="n">
        <f aca="false">Gantt!D45</f>
        <v>46292</v>
      </c>
      <c r="E43" s="45" t="str">
        <f aca="false">Gantt!G45</f>
        <v>Terminé</v>
      </c>
      <c r="F43" s="43" t="s">
        <v>220</v>
      </c>
      <c r="G43" s="43" t="s">
        <v>221</v>
      </c>
    </row>
    <row r="44" customFormat="false" ht="32.8" hidden="false" customHeight="false" outlineLevel="0" collapsed="false">
      <c r="A44" s="42" t="s">
        <v>110</v>
      </c>
      <c r="B44" s="43" t="s">
        <v>222</v>
      </c>
      <c r="C44" s="44" t="n">
        <f aca="false">Gantt!C46</f>
        <v>46278</v>
      </c>
      <c r="D44" s="44" t="n">
        <f aca="false">Gantt!D46</f>
        <v>46293</v>
      </c>
      <c r="E44" s="45" t="str">
        <f aca="false">Gantt!G46</f>
        <v>Terminé</v>
      </c>
      <c r="F44" s="43" t="s">
        <v>223</v>
      </c>
      <c r="G44" s="43" t="s">
        <v>224</v>
      </c>
    </row>
    <row r="45" customFormat="false" ht="15" hidden="false" customHeight="false" outlineLevel="0" collapsed="false">
      <c r="A45" s="42" t="s">
        <v>112</v>
      </c>
      <c r="B45" s="43" t="s">
        <v>225</v>
      </c>
      <c r="C45" s="44" t="n">
        <f aca="false">Gantt!C47</f>
        <v>46293</v>
      </c>
      <c r="D45" s="44" t="n">
        <f aca="false">Gantt!D47</f>
        <v>46315</v>
      </c>
      <c r="E45" s="45" t="str">
        <f aca="false">Gantt!G47</f>
        <v>En cours</v>
      </c>
      <c r="F45" s="43" t="s">
        <v>226</v>
      </c>
      <c r="G45" s="43" t="s">
        <v>227</v>
      </c>
    </row>
    <row r="46" customFormat="false" ht="22.35" hidden="false" customHeight="false" outlineLevel="0" collapsed="false">
      <c r="A46" s="42" t="s">
        <v>114</v>
      </c>
      <c r="B46" s="43" t="s">
        <v>228</v>
      </c>
      <c r="C46" s="44" t="n">
        <f aca="false">Gantt!C48</f>
        <v>46286</v>
      </c>
      <c r="D46" s="44" t="n">
        <f aca="false">Gantt!D48</f>
        <v>46322</v>
      </c>
      <c r="E46" s="45" t="str">
        <f aca="false">Gantt!G48</f>
        <v>En cours</v>
      </c>
      <c r="F46" s="43" t="s">
        <v>229</v>
      </c>
      <c r="G46" s="43" t="s">
        <v>230</v>
      </c>
    </row>
    <row r="47" customFormat="false" ht="15" hidden="false" customHeight="false" outlineLevel="0" collapsed="false">
      <c r="A47" s="42" t="s">
        <v>116</v>
      </c>
      <c r="B47" s="46" t="s">
        <v>9</v>
      </c>
      <c r="C47" s="44" t="n">
        <f aca="false">Gantt!C49</f>
        <v>46322</v>
      </c>
      <c r="D47" s="44" t="n">
        <f aca="false">Gantt!D49</f>
        <v>46322</v>
      </c>
      <c r="E47" s="45" t="str">
        <f aca="false">Gantt!G49</f>
        <v>Prévu</v>
      </c>
      <c r="F47" s="43" t="s">
        <v>231</v>
      </c>
      <c r="G47" s="43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2026-09-28T14:58:55Z</dcterms:created>
  <dc:creator>openpyxl</dc:creator>
  <dc:description/>
  <dc:language>en-US</dc:language>
  <cp:lastModifiedBy/>
  <dcterms:modified xsi:type="dcterms:W3CDTF">2026-09-28T14:58:55Z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